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mc:AlternateContent xmlns:mc="http://schemas.openxmlformats.org/markup-compatibility/2006">
    <mc:Choice Requires="x15">
      <x15ac:absPath xmlns:x15ac="http://schemas.microsoft.com/office/spreadsheetml/2010/11/ac" url="/Users/gus/Downloads/"/>
    </mc:Choice>
  </mc:AlternateContent>
  <xr:revisionPtr revIDLastSave="0" documentId="8_{AC537FB2-A914-2544-BEFC-2B96AC44D045}" xr6:coauthVersionLast="47" xr6:coauthVersionMax="47" xr10:uidLastSave="{00000000-0000-0000-0000-000000000000}"/>
  <bookViews>
    <workbookView xWindow="0" yWindow="660" windowWidth="30240" windowHeight="18980" xr2:uid="{00000000-000D-0000-FFFF-FFFF00000000}"/>
  </bookViews>
  <sheets>
    <sheet name="Contexto" sheetId="1" r:id="rId1"/>
    <sheet name="ChatGPT" sheetId="2" r:id="rId2"/>
    <sheet name="Deepseek" sheetId="6" r:id="rId3"/>
    <sheet name="Llama" sheetId="3" r:id="rId4"/>
    <sheet name="Claude" sheetId="5" r:id="rId5"/>
    <sheet name="Gemini" sheetId="4" r:id="rId6"/>
    <sheet name="Comparaçõ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2" i="7" l="1"/>
  <c r="AH22" i="7"/>
  <c r="AF22" i="7"/>
  <c r="AE4" i="7"/>
  <c r="AE5" i="7"/>
  <c r="AE6" i="7"/>
  <c r="AE7" i="7"/>
  <c r="AE8" i="7"/>
  <c r="AE9" i="7"/>
  <c r="AE10" i="7"/>
  <c r="AE11" i="7"/>
  <c r="AE12" i="7"/>
  <c r="AE13" i="7"/>
  <c r="AE14" i="7"/>
  <c r="AE15" i="7"/>
  <c r="AE16" i="7"/>
  <c r="AE17" i="7"/>
  <c r="AE18" i="7"/>
  <c r="AE19" i="7"/>
  <c r="AE20" i="7"/>
  <c r="AE21" i="7"/>
  <c r="AE3" i="7"/>
  <c r="Y4" i="7"/>
  <c r="Y5" i="7"/>
  <c r="Y6" i="7"/>
  <c r="Y7" i="7"/>
  <c r="Y8" i="7"/>
  <c r="Y9" i="7"/>
  <c r="Y10" i="7"/>
  <c r="Y11" i="7"/>
  <c r="Y12" i="7"/>
  <c r="Y13" i="7"/>
  <c r="Y14" i="7"/>
  <c r="Y15" i="7"/>
  <c r="Y16" i="7"/>
  <c r="Y17" i="7"/>
  <c r="Y18" i="7"/>
  <c r="Y19" i="7"/>
  <c r="Y20" i="7"/>
  <c r="Y21" i="7"/>
  <c r="Y3" i="7"/>
  <c r="M4" i="7"/>
  <c r="M5" i="7"/>
  <c r="M6" i="7"/>
  <c r="M7" i="7"/>
  <c r="M8" i="7"/>
  <c r="M9" i="7"/>
  <c r="M10" i="7"/>
  <c r="M11" i="7"/>
  <c r="M12" i="7"/>
  <c r="M13" i="7"/>
  <c r="M14" i="7"/>
  <c r="M15" i="7"/>
  <c r="M16" i="7"/>
  <c r="M17" i="7"/>
  <c r="M18" i="7"/>
  <c r="M19" i="7"/>
  <c r="M20" i="7"/>
  <c r="M21" i="7"/>
  <c r="M3" i="7"/>
  <c r="S4" i="7"/>
  <c r="S5" i="7"/>
  <c r="S6" i="7"/>
  <c r="S7" i="7"/>
  <c r="S8" i="7"/>
  <c r="S9" i="7"/>
  <c r="S10" i="7"/>
  <c r="S11" i="7"/>
  <c r="S12" i="7"/>
  <c r="S13" i="7"/>
  <c r="S14" i="7"/>
  <c r="S15" i="7"/>
  <c r="S16" i="7"/>
  <c r="S17" i="7"/>
  <c r="S18" i="7"/>
  <c r="S19" i="7"/>
  <c r="S20" i="7"/>
  <c r="S21" i="7"/>
  <c r="S3" i="7"/>
  <c r="G4" i="7"/>
  <c r="G5" i="7"/>
  <c r="G6" i="7"/>
  <c r="G7" i="7"/>
  <c r="G8" i="7"/>
  <c r="G9" i="7"/>
  <c r="G10" i="7"/>
  <c r="G11" i="7"/>
  <c r="G12" i="7"/>
  <c r="G13" i="7"/>
  <c r="G14" i="7"/>
  <c r="G15" i="7"/>
  <c r="G16" i="7"/>
  <c r="G17" i="7"/>
  <c r="G18" i="7"/>
  <c r="G19" i="7"/>
  <c r="G20" i="7"/>
  <c r="G21" i="7"/>
  <c r="G3" i="7"/>
  <c r="C22" i="7"/>
  <c r="D22" i="7"/>
  <c r="E22" i="7"/>
  <c r="F22" i="7"/>
  <c r="G22" i="7"/>
  <c r="H22" i="7"/>
  <c r="I22" i="7"/>
  <c r="J22" i="7"/>
  <c r="K22" i="7"/>
  <c r="L22" i="7"/>
  <c r="M22" i="7"/>
  <c r="N22" i="7"/>
  <c r="O22" i="7"/>
  <c r="P22" i="7"/>
  <c r="Q22" i="7"/>
  <c r="R22" i="7"/>
  <c r="S22" i="7"/>
  <c r="T22" i="7"/>
  <c r="U22" i="7"/>
  <c r="V22" i="7"/>
  <c r="W22" i="7"/>
  <c r="X22" i="7"/>
  <c r="Y22" i="7"/>
  <c r="Z22" i="7"/>
  <c r="AA22" i="7"/>
  <c r="AB22" i="7"/>
  <c r="AC22" i="7"/>
  <c r="AD22" i="7"/>
  <c r="AE22" i="7"/>
  <c r="B22" i="7"/>
</calcChain>
</file>

<file path=xl/sharedStrings.xml><?xml version="1.0" encoding="utf-8"?>
<sst xmlns="http://schemas.openxmlformats.org/spreadsheetml/2006/main" count="140" uniqueCount="89">
  <si>
    <t>Contexto</t>
  </si>
  <si>
    <t xml:space="preserve">You are an information security analyst working for a medium-sized company. This company handles sensitive customer information, from personally identifiable data to strategic records. Currently, the company is concerned about the information security posture adopted by its partners. These partners play an essential role in the supply chain, providing services that support critical business processes and functions. They require access to network resources, including internal and external applications, data, and IT services. To assess the risks associated with these partners, the company uses the CIS (Critical Security Controls) framework, allowing the identification of potential risks before the start of service delivery.
Currently, one of the partners is being evaluated regarding the cybersecurity risks associated with their infrastructure, processes, systems, applications, and other aspects. The necessary data for this evaluation is presented below, including customized questions following the CIS standards and the answers provided by the partner.
Your objective, as an information security analyst, is to determine the security risk associated with each partner based on your expertise, assigning a rating on a scale from 0 (low risk) to 10 (high risk), to define the level of risk each partner represents to the company. </t>
  </si>
  <si>
    <t>Perguntas</t>
  </si>
  <si>
    <t>1. Topic: Hardware Asset Inventory
[Question for the Client] Does the company maintain a detailed inventory of corporate hardware assets?
[Client's Response] The company maintains a comprehensive and detailed asset inventory. This inventory covers the vast majority of assets within the organization, with approximately 98% of all assets accounted for and tracked. The inventory is continuously updated through automated systems, ensuring that new assets are captured and existing ones are updated in real time as changes occur.</t>
  </si>
  <si>
    <t>2. Topic: Software Asset Inventory and Control
[Question for the Client] Does the company maintain a detailed inventory of software, systems, and applications?
[Client's Response] The organization has a well-established and effectively maintained software inventory. Currently, approximately 85% of the software used within the organization is inventoried, ensuring comprehensive control over software assets. This inventory is regularly updated through manual processes to ensure new installations and updates are accurately reflected in the system.</t>
  </si>
  <si>
    <t>3. Topic: Information Management
[Question for the Client] Is there a formal data management process in place?
[Client's Response] A formal data management process is in place within the organization. Data is classified according to sensitivity. The data management process is audited every six months, and access permissions are reviewed regularly.</t>
  </si>
  <si>
    <t>4. Topic: Secure Configuration Process (Hardening, Security Baselines, etc.)
[Question for the Client] Is there a secure configuration process for all systems?
[Client's Response] A secure configuration process is in place for all systems, based on the CIS (Center for Internet Security) framework. Configurations are standardized across the organization and are reviewed and updated quarterly.</t>
  </si>
  <si>
    <t>5. Topic: User Account Inventories
[Question for the Client] Is there an inventory of all user accounts for all systems in the application catalog?
[Client's Response] There is an inventory of all user accounts for all systems in the application catalog. This inventory is frequently and automatically updated. Accounts are centrally managed, and unused accounts are promptly deactivated.</t>
  </si>
  <si>
    <t>6. Topic: Access Provisioning in Systems and Applications
[Question for the Client] Is there a formal process to grant access?
[Client's Response] A formal access granting process is in place. Requests are approved based on the principle of least privilege, and access is periodically reviewed to ensure it is still necessary. Access is also granted based on specific roles or functions.</t>
  </si>
  <si>
    <t>7. Topic: Vulnerability Management
[Question for the Client] Is there a vulnerability management process in place for all assets (endpoints, servers, network devices, applications, and systems, etc.)?
[Client's Response] A vulnerability management process is in place for all assets, including endpoints, servers, network devices, applications, and systems. Vulnerabilities are identified and prioritized for remediation. Vulnerability scans are conducted monthly, and management reports are reviewed regularly.</t>
  </si>
  <si>
    <t>8. Topic: Log and Activity Record Management
[Question for the Client] Is there a formal audit log management process?
[Client's Response] A formal audit log management process is in place, with automatic log collection from all systems and secure storage in centralized and encrypted repositories. Logs are regularly reviewed by dedicated teams using automated tools to detect suspicious activities. According to policy, audit logs are retained for 12 months in a secure environment with restricted access to authorized users.</t>
  </si>
  <si>
    <t>9. Topic: Use of Browsers and Email Clients
[Question for the Client] Are all browsers and email clients fully supported, and are only authorized versions deployed?
[Client's Response] All browsers and email clients in use are fully supported, with regular updates and continuous vendor support. Security settings for browsers and email clients are centrally enforced and monitored to ensure compliance. The list of supported versions is reviewed and updated quarterly to ensure the latest and most secure versions are in use.</t>
  </si>
  <si>
    <t>10. Topic: Antimalware
[Question for the Client] Is antimalware software deployed on all endpoints?
[Client's Response] Antimalware software is deployed on all organizational endpoints, with regular malware scans performed. The effectiveness of the antimalware software is tested quarterly. Anti-exploit features are enabled, and endpoints are centrally managed through a dedicated security platform.</t>
  </si>
  <si>
    <t>11. Topic: Data and Information Recovery
[Question for the Client] Is there a data recovery process in place?
[Client's Response] A data recovery process is in place, with backups performed regularly and stored securely. In the event of data loss, critical data can be restored within 8 hours. Recovery logs are maintained and reviewed periodically to ensure process integrity.</t>
  </si>
  <si>
    <t>12. Topic: Keeping Network Infrastructure Up to Date
[Question for the Client] Is the network infrastructure updated regularly?
[Client's Response] The network infrastructure is updated regularly, with firmware and software patches applied promptly. All configuration changes in network devices are tracked and documented. The network infrastructure is audited for compliance every six months.</t>
  </si>
  <si>
    <t>13. Topic: Centralization of Information Security Events
[Question for the Client] Are all information security and related events centralized?
[Client's Response] All security event alerts are centralized on a dedicated platform, enabling real-time monitoring of the entire infrastructure. All critical events are sent to this central system, where they are analyzed and addressed by specialized teams.</t>
  </si>
  <si>
    <t>14. Topic: Awareness Program
[Question for the Client] Is there currently a program aimed at raising awareness or training employees on cybersecurity?
[Client's Response] An active security awareness program is in place, and all employees are required to complete security awareness training. The training is conducted annually.</t>
  </si>
  <si>
    <t>15. Topic: Third-Party, Partner, and Vendor Management
[Question for the Client] How is the management of third parties, partners, and vendors currently handled regarding information security risk assessment?
[Client's Response] An inventory of all service providers is maintained and regularly updated. Service providers are periodically reviewed for security compliance, and their security practices are assessed annually.</t>
  </si>
  <si>
    <t>16. Topic: Secure Software Development
[Question for the Client] Are secure software development practices implemented?
[Client's Response] A Secure Application Development Process is established, with security practices embedded throughout all stages of the development lifecycle. Development teams follow secure coding standards, and regular security reviews, such as vulnerability testing and code audits, are conducted. Security updates and patches are continuously applied to ensure application protection.</t>
  </si>
  <si>
    <t>17. Topic: Incident Response
[Question for the Client] Is there an incident response process?
[Client's Response] An Incident Response Process is in place, with a designated team responsible for handling incidents. Incident handling training is conducted regularly, and all incidents are documented and reviewed.</t>
  </si>
  <si>
    <t>18. Topic: Penetration Testing and Attack Simulations
[Question for the Client] Are penetration tests or attack simulations conducted?
[Client's Response] A Penetration Testing Program is in place, with regular tests conducted on critical systems and network infrastructure. Specialized teams perform these tests to identify and exploit vulnerabilities, ensuring that corrective actions are taken promptly.</t>
  </si>
  <si>
    <t>Chat GPT 5 PRO</t>
  </si>
  <si>
    <t>Teste 1</t>
  </si>
  <si>
    <t>Teste 2</t>
  </si>
  <si>
    <t xml:space="preserve">Teste 3 </t>
  </si>
  <si>
    <t>Teste 4</t>
  </si>
  <si>
    <t>Teste 5</t>
  </si>
  <si>
    <t xml:space="preserve">Below is my CIS‑aligned risk assessment of this partner based on the information provided. I scored each of the 18 domains from **0 (low risk)** to **10 (high risk)**, then averaged them for an overall partner risk. Where details were **not stated**, I did *not* assume compliance; I flag these as recommended clarifications.
---
## Executive summary
* **Overall partner cybersecurity risk:** **2.6 / 10 — Low**
* **Why low?** Strong fundamentals are in place (hardware and account inventories are automated, CIS‑based hardening, centralized logging, RBAC/least‑privilege, backups, SDLC controls, IR process, and regular pentests).
* **Main risk drivers:**
  (a) **Software inventory coverage only \~85%** and maintained manually (shadow IT/patch blind spots),
  (b) **Monthly** (not continuous/risk‑based) **vulnerability scanning** with no stated remediation SLAs,
  (c) **Security awareness training only annually**,
  (d) **Third‑party oversight only annually**,
  (e) No explicit mention of **EDR** or **MFA** (strongly expected controls).
I would categorize this partner as **“Green / Acceptable with conditions”** provided the quick wins below are addressed before granting broad access.
---
## Domain-by-domain scores and rationale
| #  | CIS topic                                      | Key strengths (from response)                                                           | Notable gaps / residual risks                                                 | **Risk (0–10)** |
| -- | ---------------------------------------------- | --------------------------------------------------------------------------------------- | ----------------------------------------------------------------------------- | --------------- |
| 1  | **Hardware Asset Inventory**                   | \~98% coverage, automated discovery/updates                                             | 2% unknown assets still possible                                              | **1.5**         |
| 2  | **Software Asset Inventory &amp; Control**         | Inventory exists                                                                        | \~85% coverage, **manual updates** ⇒ blind spots for licensing/patching       | **4.5**         |
| 3  | **Information Management**                     | Formal process, classification, semiannual audits, access reviews                       | No mention of DLP or encryption standards scope                               | **2.0**         |
| 4  | **Secure Configuration (Hardening/Baselines)** | CIS‑based, standardized, quarterly review                                               | No config drift KPIs stated; tempo might lag on fast‑moving risks             | **2.0**         |
| 5  | **User Account Inventories**                   | Centralized, automatic updates, prompt deactivation                                     | No explicit periodic orphaned/privileged account attestation noted            | **1.5**         |
| 6  | **Access Provisioning (IAM)**                  | Formal, least‑privilege, role‑based, periodic review                                    | **MFA not stated** for privileged/remote access                               | **2.0**         |
| 7  | **Vulnerability Management**                   | Process covers all asset types, prioritized remediation                                 | **Monthly scans** (not continuous/weekly); **no remediation SLAs** stated     | **4.0**         |
| 8  | **Audit Log Management**                       | Centralized, encrypted, reviewed; **12‑month retention**                                | Immutability/tamper‑evidence not stated; hot vs. cold retention not specified | **2.5**         |
| 9  | **Browsers &amp; Email Clients**                   | Fully supported, centrally enforced settings, quarterly version list review             | No explicit email authentication (DMARC/DKIM/SPF) stated                      | **2.0**         |
| 10 | **Antimalware**                                | Deployed on all endpoints, anti‑exploit, centrally managed, efficacy tested             | **EDR/XDR not stated**; coverage for servers/Linux not stated                 | **2.5**         |
| 11 | **Data &amp; Information Recovery**                | Regular backups, secure storage, **RTO 8h**, recovery logs reviewed                     | **RPO not stated**; restore **test frequency** not stated                     | **3.0**         |
| 12 | **Network Infrastructure Currency**            | Timely patching, tracked changes, semiannual compliance audits                          | Segmentation/NAC/zero‑trust posture not stated                                | **2.0**         |
| 13 | **Centralization of Security Events**          | Real‑time monitoring on a central platform                                              | 24×7 coverage and triage SLAs not stated; scope of telemetry not detailed     | **2.5**         |
| 14 | **Security Awareness Program**                 | All employees trained                                                                   | **Annual only**; phishing simulations/click‑rate KPIs not stated              | **4.0**         |
| 15 | **Third‑Party / Vendor Management**            | Inventory maintained, periodic reviews, **annual** assessments                          | Risk‑tiered cadence &amp; **contractual security obligations** not stated         | **3.5**         |
| 16 | **Secure Software Development**                | Secure SDLC, coding standards, code reviews, vulnerability testing, continuous patching | SBOM/SCA gate, signed builds, and pre‑prod abuse testing not stated           | **2.0**         |
| 17 | **Incident Response**                          | Process, team, regular training; incidents documented and reviewed                      | Tabletop frequency, **on‑call/24×7**, and notification timelines not stated   | **2.5**         |
| 18 | **Penetration Testing**                        | Regular tests on critical systems/infrastructure                                        | Exact **frequency/scope** and remediation verification not stated             | **2.5**         |
&gt; **Overall risk (simple average of 18 domains): 2.6 / 10 (Low).**
---
## “Acceptable with conditions” — required safeguards before access
1. **Software inventory to ≥95–100%** coverage with **automated discovery** (endpoint, cloud, SaaS) and daily reconciliation.
2. **Vulnerability management uplift:** move to **continuous/at least weekly scanning** plus **risk‑based remediation SLAs** (e.g., Critical: 7 days; High: 15–30 days) with aging metrics.
3. **Enforce MFA everywhere**, especially **all remote and all privileged access** (including VPN/ZTNA, admin consoles, cloud, email).
4. **Deploy/attest to EDR/XDR** on all endpoints and servers with central policy, isolation, and threat‑hunting capability.
5. **Awareness program modernization:** quarterly micro‑training + **monthly phishing simulations** with target KPIs and remediation for repeat clickers.
6. **Third‑party governance:** risk‑tiered reviews (High‑risk: quarterly; Medium: semiannual; Low: annual), **contractual security requirements**, and evidence (e.g., SOC 2/ISO 27001, pen‑test letters, ASV scans).
7. **Backup &amp; recovery assurance:** define **RPO** targets, run **quarterly restore tests**, and track pass/fail times; ensure offsite/immutable copies.
8. **Logging &amp; monitoring assurance:** ensure **time‑sync + immutability/tamper‑evidence**; keep ≥90 days searchable + ≥12 months total (extend to 18–24 months if regulatory needs).
9. **Joint incident handling:** 24×7 on‑call with **&lt;24‑hour incident notification** to us; **quarterly tabletop** exercises including our teams.
10. **Connection guardrails:** access only via **SSO + MFA**, **least privilege**, **network segmentation/ZTNA**, and **per‑service allow‑lists**; no shared/admin generic accounts.
---
## Evidence to request (due diligence pack)
* **Asset &amp; software inventory** exports showing coverage %, discovery cadence, and reconciliation timestamps.
* **Vulnerability mgmt**: last 3 months of scan reports, exception list, and **remediation SLA** metrics.
* **Hardening**: CIS benchmark policy + sample configs/drift reports.
* **IAM**: access request workflow, **MFA policy**, last quarterly access review and de‑provisioning evidence.
* **Logging/SIEM**: data sources list, retention/immutability config, alert triage SLAs, sample weekly dashboards.
* **EDR/XDR**: deployment coverage report and isolation playbook.
* **Backups/DR**: RPO/RTO targets, last restore test report, offsite/immutable copy proof.
* **Awareness**: training completion % and phishing simulation metrics.
* **Vendor mgmt**: risk‑tiering method, latest assessments for critical suppliers, and contractual security clauses.
* **IR**: playbooks, communication plan, notification timelines, latest tabletop After‑Action Report.
* **Pentest**: latest executive summary + remediation verification evidence.
---
## How to interpret the score
* **0.0–3.3 Low** → Accept with standard controls; verify key artifacts.
* **3.4–6.6 Moderate** → Conditional acceptance; remediation plan before high‑privilege access.
* **6.7–10 High** → Do not connect until substantial remediation is complete.
**This partner: 2.6 (Low).** Acceptable to proceed **once the conditions above (esp. MFA, EDR, vuln mgmt uplift, software inventory automation)** are evidenced and in place for the access they require.
</t>
  </si>
  <si>
    <t xml:space="preserve">Below is a concise, evidence‑based risk rating for **this partner** using the CIS Controls lens. I scored each control area (0=low risk, 10=high risk) from the information provided, weighted them by business impact for a partner with internal/external access, and computed a weighted average for the overall risk.
---
## Executive summary
* **Overall partner risk rating:** **3.6 / 10** → **Low–Moderate risk**
* **Why not lower?** The big drivers are **software inventory gaps (85% &amp; manual)**, **monthly (not continuous) vulnerability scanning and unclear remediation SLAs**, **access control not explicitly backed by MFA/PAM**, **backup/restore details (RPO, immutability, test cadence) not stated**, and **annual-only awareness**.
* **Confidence level:** **Moderate** (self‑attested responses; verify with evidence listed below).
---
## Scoring method (transparent)
* Each topic scored 0–10 (lower = better).
* Weighting reflects how much that control *actually reduces* third‑party risk to us (sum = 100%).
* **Overall risk = Σ(Weight% × Score)/100.**
|  # | CIS-aligned area                              | Weight % | Risk (0–10) | Contribution | Rationale (key strengths / gaps)                                                                     |
| -: | --------------------------------------------- | -------: | ----------: | -----------: | ---------------------------------------------------------------------------------------------------- |
|  1 | Hardware Asset Inventory                      |        3 |       **1** |         0.03 | 98% coverage, automated → minor residual risk.                                                       |
|  2 | Software Asset Inventory &amp; Control            |        6 |       **6** |         0.36 | 85% coverage, **manual** updates → blind spots for patching/allow‑listing.                           |
|  3 | Information Management (Data Protection)      |        8 |       **3** |         0.24 | Classification &amp; 6‑mo audits; **no explicit encryption/DLP/retention details**.                      |
|  4 | Secure Configuration (Hardening/Baselines)    |        8 |       **2** |         0.16 | CIS baselines, quarterly review → solid. Drift detection cadence not stated.                         |
|  5 | User Account Inventories                      |        5 |       **2** |         0.10 | Central, auto‑updated; good deprovisioning.                                                          |
|  6 | Access Provisioning (RBAC/Least Privilege)    |        8 |       **5** |         0.40 | Formal RBAC &amp; reviews; **MFA/PAM/SoD not confirmed**.                                                |
|  7 | Vulnerability Management                      |       11 |       **6** |         0.66 | Monthly scans &amp; reports; **no SLA, no continuous/internet‑facing frequency stated**.                 |
|  8 | Log &amp; Activity Record Management              |        8 |       **2** |         0.16 | Centralized, encrypted, reviewed; 12‑mo retention (adequate for many cases).                         |
|  9 | Browsers &amp; Email Client Protections           |        4 |       **4** |         0.16 | Central policy; quarterly version review; **phishing controls/DMARC not cited**.                     |
| 10 | Antimalware                                   |        4 |       **3** |         0.12 | All endpoints covered, anti‑exploit, centrally managed; **EDR not stated**.                          |
| 11 | Data &amp; Information Recovery                   |        6 |       **5** |         0.30 | Regular backups, **RTO 8h**; **RPO, immutability, isolation, test frequency not stated**.            |
| 12 | Network Infrastructure Up to Date             |        4 |       **3** |         0.12 | Prompt patching; 6‑mo audits; segmentation/NAC not stated.                                           |
| 13 | Centralization of Security Events (SIEM/SOAR) |        4 |       **2** |         0.08 | Central alerts, real‑time monitoring by specialists.                                                 |
| 14 | Security Awareness Program                    |        3 |       **4** |         0.12 | Annual training only; **phishing simulations/continuous nudges not cited**.                          |
| 15 | Third‑Party / Vendor Risk Management          |        4 |       **5** |         0.20 | Inventory + annual reviews; **risk‑tiering, contractual controls, continuous monitoring not cited**. |
| 16 | Secure Software Development (SSDLC)           |        4 |       **3** |         0.12 | Secure coding &amp; reviews; **SAST/DAST/SCA/SBOM/secret scanning not explicit**.                        |
| 17 | Incident Response                             |        6 |       **3** |         0.18 | IR team, regular training; **tabletops/MTTD/MTTR metrics &amp; 24×7 not cited**.                         |
| 18 | Pen Testing &amp; Attack Simulation               |        4 |       **3** |         0.12 | Regular tests on critical systems; scope/frequency &amp; fix‑validation not detailed.                    |
|    | **Total (Weighted Avg.)**                     |  **100** |             |     **3.63** |                                                                                                      |
---
## Top residual risks (and why they matter)
1. **Vulnerability Management (score 6, largest contributor 0.66):** Monthly cadence can leave internet‑facing issues exploitable for weeks; no stated **remediation SLAs** or **risk‑based prioritization** (e.g., EPSS/KEV).
2. **Access Controls (score 5):** RBAC is good, but without **MFA everywhere (human &amp; service)** and **PAM** for privileged/administrative access, credential compromise is a high‑impact pathway.
3. **Software Inventory (score 6):** **Manual** updates and 85% coverage mean patch &amp; license governance can miss shadow software.
4. **Data Recovery (score 5):** **RPO, immutability/offline copies, restore test cadence** not stated; ransomware resilience uncertain.
5. **Third‑Party Management (score 5):** Annual-only reviews and no explicit **security clauses** or **continuous monitoring** create latent supply‑chain risk.
6. **Email/Web defenses (score 4) &amp; Awareness (4):** Phishing remains the #1 initial access vector; lack of specifics on **DMARC/SPF/DKIM**, sandboxing, or **phishing simulations** is notable.
---
## Required improvements (prioritized 30/60/90 days)
**Within 30 days (must‑haves before/while granting access)**
* **Enforce MFA** for all workforce, privileged, and third‑party identities; require **per‑user, non‑shared accounts**.
* **Document remediation SLAs**: e.g., internet‑facing **CRITICAL within 7 days**, HIGH 15 days; internal CRITICAL 15 days. Track SLA adherence.
* **Increase scanning cadence**: continuous/weekly for internet‑facing; authenticated scans for servers/endpoints; integrate SCA for apps.
* **Backups**: attest to **immutable/offline copies**, geo‑separation, encryption keys control; provide latest **successful restore report**.
* **Contractual controls** (see below) including incident notification ≤24h and right‑to‑audit.
**Within 60 days**
* Move software inventory to **automated discovery** across endpoints/servers/cloud; target **≥95% coverage**.
* Deploy **EDR** with behavior detection and centralized response; confirm coverage &gt;95%.
* Email security: enable **DMARC (quarantine/reject), SPF, DKIM**; sandbox attachments/URLs; outbound DLP rules for sensitive data.
* **Run a tabletop IR exercise** jointly with us; define RACI and 24×7 escalation paths.
**Within 90 days**
* Implement **PAM** (vault, JIT, session recording), **IGA** for JML automation and SoD reviews.
* Codify **network segmentation/zero‑trust access** for our environments (device posture + SSO, least privilege, time‑bound access).
* Expand SSDLC with **SAST/DAST/SCA**, **secrets scanning**, **SBOM** generation, and **fix‑validation gates** in CI/CD.
* Vendor risk: introduce **risk tiering**, **security clauses** and **continuous monitoring** for your own subprocessors.
---
## Evidence we need to verify (before final onboarding)
* **Asset inventories:** export samples for hardware &amp; software (coverage %, last-seen timestamps, discovery method).
* **Vuln management:** last 3 months of scan/WAf results, patch SLAs, KEV/EPSS usage, and remediation proof (closed tickets).
* **Access controls:** proof of **MFA enforcement** (IdP policy), list of privileged accounts, **PAM** architecture or plan.
* **Backups:** RPO/RTO targets, **immutability** settings, storage isolation, and **restore test reports** (success criteria, duration).
* **Logging/SIEM:** data sources list, retention policy (12 months), example alerts &amp; response runbooks.
* **Email/web:** DMARC/SPF/DKIM policy records, phishing simulation metrics (click rate, report rate).
* **IR:** IR plan, on‑call roster, last tabletop report, notification workflow to customers/partners.
* **Pen testing:** latest report executive summary, scope, findings, and **remediation verification**.
---
## Contractual &amp; access guardrails (for our protection)
1. **Security addendum** with: MFA mandate, patch SLAs, encryption requirements, data handling &amp; deletion, **breach notice ≤24h**, log retention (≥12 months), and right to audit.
2. **Connectivity conditions:** access only from **managed, compliant devices** via our **SSO/MFA**, least‑privilege network paths, and **session logging streamed to our SIEM**.
3. **Data protection:** encryption in transit and at rest; DLP on e‑mail and file shares with our data.
4. **Subprocessor transparency** and flow‑down of equivalent controls.
---
### Bottom line
On the information provided, this partner’s **residual risk is 3.6/10 (Low–Moderate)**. With the 30/60/90‑day actions—especially **MFA/PAM**, **stronger vulnerability management**, **automated software inventory**, and **ransomware‑resilient backups**—their risk should comfortably fall into a **low** band for ongoing operations.
If you want, I can convert this into a one‑page vendor risk report or an intake checklist you can send back to the partner.
</t>
  </si>
  <si>
    <t xml:space="preserve">Below is a concise, CIS Controls v8–aligned risk rating for this partner based on the information you provided. Scores are **0 (low risk)** to **10 (high risk)**. I include an overall score, per‑control ratings with rationale, and the minimum safeguards I’d require before granting them access to our network.
---
## Executive summary
* **Overall third‑party risk rating (weighted): *3.3 / 10* → Low**
  * (Unweighted average of all 18 items: **3.2 / 10**; weighted by control criticality to business impact: **3.34 / 10**.)
* **Top risk drivers**
  1. **Software asset inventory** only \~85% and **manually** maintained → blind spots for unapproved software.
  2. **Vulnerability scanning cadence** monthly → exposure window for rapidly exploited vulns.
  3. **Backup/restore**: RTO provided (8h) but **no RPO, immutability, or restore test evidence** stated.
  4. **Security awareness**: annual-only; no indication of phishing simulations or role‑specific refreshers.
  5. **Access control**: formal least‑privilege process noted, but **no explicit mention of MFA**, JIT/PAM, or revoke SLAs.
Assurance level: **Self‑attested**. Risk may change after evidence review.
---
## Per‑control ratings (CIS v8)
|  # | Control (CIS v8)                             | Partner posture (as stated)                                        | Risk (0–10) | Why this score / key gaps                                                                        |
| -: | -------------------------------------------- | ------------------------------------------------------------------ | ----------: | ------------------------------------------------------------------------------------------------ |
|  1 | **Inventory &amp; Control of Enterprise Assets** | \~98% coverage, automated, real‑time updates                       |       **2** | Strong; small residual risk from 2% unknown/rogue.                                               |
|  2 | **Inventory &amp; Control of Software Assets**   | \~85% coverage, **manual** updates                                 |       **6** | Material blind spots; manual process lags → risk of shadow IT &amp; unpatched software.              |
|  3 | **Data Protection**                          | Formal process, classification, 6‑mo audits, access reviews        |       **3** | Solid governance; no explicit mention of DLP, encryption, or data flow mapping → small residual. |
|  4 | **Secure Configuration**                     | CIS‑based baselines, standardized, **quarterly** review            |       **3** | Good baseline; quarterly review is okay but drift detection/continuous compliance not stated.    |
|  5 | **Account Management**                       | Central inventory, auto‑updated, prompt deactivation               |       **3** | Good, but no specifics for non‑human/service/privileged accounts lifecycle.                      |
|  6 | **Access Control Management**                | Formal, least privilege, role‑based, periodic reviews              |       **4** | Positive, but **MFA/PAM/JIT not mentioned**; treat as unclear → moderate residual.               |
|  7 | **Continuous Vulnerability Management**      | Process in place; **monthly** scans; prioritized remediation       |       **5** | Monthly leaves exposure; externals/critical should be at least weekly or continuous.             |
|  8 | **Audit Log Management**                     | Centralized, encrypted, automated, reviewed; **12‑mo retention**   |       **2** | Strong logging posture and retention.                                                            |
|  9 | **Email &amp; Web Browser Protections**          | Fully supported, centrally enforced, quarterly version review      |       **2** | Good control/patching; residual from zero‑day/social engineering remains.                        |
| 10 | **Malware Defenses**                         | On all endpoints; regular scans; **anti‑exploit**; centralized     |       **2** | Strong baseline; assumes equal coverage for macOS/Linux/servers.                                 |
| 11 | **Data Recovery**                            | Regular, secure backups; **RTO 8h**; recovery logs reviewed        |       **4** | No stated **RPO**, test frequency/success, off‑site/immutable copies → moderate residual.        |
| 12 | **Network Infrastructure Management**        | Patches applied promptly; config changes tracked; 6‑mo audits      |       **3** | Good hygiene; cadence for network device patching not quantified.                                |
| 13 | **Network Monitoring &amp; Defense**             | **All critical events** centralized, real‑time monitoring          |       **3** | SIEM/SOAR implied; ensure coverage for **all** relevant sources, not only “critical”.            |
| 14 | **Security Awareness &amp; Skills Training**     | **Annual** mandatory training                                      |       **4** | Annual-only is minimum; no targeted modules, phishing sims, or role‑based refreshers.            |
| 15 | **Service Provider Management**              | Inventory and **annual** assessments/reviews                       |       **3** | Solid baseline; risk from assessment depth/corrective action tracking.                           |
| 16 | **Application Software Security**            | SSDLC with reviews, code audits, vuln testing; continuous patching |       **3** | Good program; tooling (SAST/DAST/SCA/secrets scanning/CICD gates) not specified.                 |
| 17 | **Incident Response Management**             | IR process &amp; team; training; incidents documented/reviewed         |       **3** | Mature signals; no evidence of tabletop frequency/metrics (MTTD/MTTR)/after‑action SLAs.         |
| 18 | **Penetration Testing**                      | Regular tests on critical systems/infrastructure                   |       **3** | Positive; frequency/scope/objectivity not detailed; ensure findings remediation SLAs.            |
**Category legend**: 0–2 Very Low • 3–4 Low • 5–6 Moderate • 7–8 High • 9–10 Critical
---
## Overall score calculation (transparent)
* **Unweighted average of 18 scores**: 3.17 → Low.
* **Weighted by control criticality** (heavier weight on 2, 4, 6, 7, 11, 16, 17): **3.34**, rounded to **3.3 / 10 (Low)**.
---
## Minimum safeguards before granting them access to our network
These are “go/no‑go” conditions I recommend we include in the contract and in technical onboarding:
1. **Strong identity &amp; access**
   * Enforce **MFA** for all vendor users; **phishing‑resistant MFA** for admins/remote access.
   * Use **SSO** + scoped, **just‑in‑time** privileged access (PAM) with session recording.
   * Define **revoke SLAs** (e.g., ≤4 hours for leavers, ≤15 minutes for emergency disable).
2. **Endpoint &amp; connectivity controls**
   * Vendor endpoints accessing our data must run **EDR** with **real‑time** policy enforcement and encryption at rest.
   * Access via **segmented** network paths (ZTN or tightly scoped VPN), **no shared accounts**, per‑partner per‑app allow‑lists.
3. **Vulnerability &amp; patch management**
   * **External attack surface**: continuous scanning; critical vulns remediated within **7 days** (internal **30 days**).
   * Provide monthly remediation metrics and evidence.
4. **Backups &amp; recovery**
   * Document **RPO** for systems hosting/processing our data; require **immutable/offline copies** and **quarterly restore tests** that include our data sets.
5. **Logging &amp; monitoring**
   * Send **vendor user and admin activity logs** (incl. API calls) to their SIEM and retain ≥12 months; make **security event telemetry available on request** for incidents.
   * Define **incident notification** SLA (e.g., **within 24 hours** of confirmable impact to our data).
6. **Secure SDLC (if they develop or operate apps touching our data)**
   * Evidence of **SAST, DAST, SCA**, secrets scanning, supply‑chain controls (SBOMs, signed artifacts), and CI/CD gates blocking critical issues.
7. **Awareness &amp; social‑engineering**
   * **Quarterly** micro‑training for high‑risk roles and **phishing simulations** with tracked improvement.
---
## Targeted remediation plan (90–120 days)
* **Software asset inventory → 95%+ coverage (aim for 99%):** deploy automated discovery (agent + network), reconcile quarterly; block execution of unapproved software.
* **Vulnerability management:** move to **risk‑based/continuous** scanning for internet‑facing assets and weekly for internal; track time‑to‑remediate by severity.
* **Backups:** declare **RPOs**, implement **immutable storage** (object lock/WORM), and **documented, witnessed** restore tests at least quarterly.
* **Access control hardening:** enforce **MFA** everywhere, integrate **PAM/JIT**, rotate service credentials, and review admin roles monthly.
* **Awareness:** add role‑specific modules (finance, IT, execs) and quarterly refreshers; start measured phishing campaigns.
---
## Evidence to request now (for due diligence)
* Latest **hardware &amp; software inventory** exports with coverage metrics and update method.
* **Vuln scan schedules &amp; last 2 monthly reports**, plus remediation ticket samples.
* **Backup policy**, last **restore test** report (including RPO/RTO achieved), and proof of **immutable/offsite** copies.
* **Access control**: MFA policy, PAM design, and last quarterly access review results (incl. leaver processing times).
* **SIEM/logging** data flow diagram and **log retention** settings.
* **IR**: plan/playbooks, last tabletop AAR, and incident notification SLA.
* **SSDLC**: toolchain screenshots/reports for SAST/DAST/SCA, sample SBOM, and pipeline gates.
---
### Final determination
Based on the partner’s statements and standard weighting of CIS Controls, **the partner’s current risk to us is *Low (3.3/10).***
Proceeding is reasonable **if** the “minimum safeguards” above are contractually committed and verified with evidence—especially MFA/PAM, improved vuln cadence, and demonstrated recoverability.
</t>
  </si>
  <si>
    <t xml:space="preserve">Below is a CIS‑aligned risk scorecard for the partner based on the answers provided. I use a 0–10 scale where **0 = very low risk** and **10 = very high risk**. Scores reflect **residual** risk given what the partner says they do today (self‑attested), plus typical failure modes I’ve seen for each control.
---
## How I scored
* **Scale interpretation:**
  0–2 = Very Low · 2–4 = Low · 4–6 = Moderate · 6–8 = High · 8–10 = Critical
* **Weighting:** Not all controls carry equal supply‑chain impact. I applied the weights below (sum = 100%) and computed an overall weighted risk:
  Weighted risk = Σ(Topic Risk × Weight%) / 100
---
## Overall result
**Overall partner risk: 3.1 / 10 (Low)**
**Confidence in rating: Medium** (answers are self‑reported; evidence not yet reviewed)
**Top risk drivers (by contribution to overall score):**
1. Vulnerability Management (monthly scans) · 2) Software Asset Inventory (85%, manual) · 3) Data mgmt &amp; Audit logging depth/retention · 4) Third‑party oversight cadence · 5) Incident/Recovery rigor (testing &amp; metrics not specified).
---
## Per‑topic scores and rationale
| #  | Topic (CIS v8 mapping)                                | Summary of what they do                                                                     | Noted gaps / risk drivers                                                                    | Weight | Risk (0–10) | Weighted impact |
| -- | ----------------------------------------------------- | ------------------------------------------------------------------------------------------- | -------------------------------------------------------------------------------------------- | -----: | ----------: | --------------: |
| 1  | **Hardware Asset Inventory** (Ctrl 1)                 | 98% coverage, automated &amp; near real‑time.                                                   | \~2% unknown devices; need attestation for labs/IoT/guest.                                   |     5% |     **2.0** |            0.10 |
| 2  | **Software Asset Inventory &amp; Control** (Ctrl 2)       | \~85% coverage; manually updated.                                                           | 15% blind spot; manual updates lag; no allow‑listing mentioned.                              |     7% |     **5.5** |            0.39 |
| 3  | **Information/Data Management** (Ctrl 3)              | Formal process; classification; 6‑month audits; access reviews.                             | Encryption/DLP/RPO/RTR not specified; lifecycle and purge controls unclear.                  |     7% |     **3.0** |            0.21 |
| 4  | **Secure Configuration / Baselines** (Ctrl 4)         | CIS‑based baselines; standardized; quarterly review.                                        | Drift monitoring &amp; attestation frequency not stated; gold‑image governance.                  |     6% |     **2.5** |            0.15 |
| 5  | **User Account Inventories** (Ctrl 5)                 | Central inventory; auto‑updated; prompt deactivation.                                       | Service/privileged account hygiene not detailed.                                             |     6% |     **2.0** |            0.12 |
| 6  | **Access Provisioning** (Ctrl 6)                      | Formal, least‑privilege, role‑based; periodic reviews.                                      | Just‑in‑time (JIT) elevation &amp; break‑glass controls not mentioned.                           |     8% |     **2.0** |            0.16 |
| 7  | **Vulnerability Management** (Ctrl 7)                 | Process in place for all asset types; **monthly** scans; reports reviewed.                  | Monthly cadence leaves long exposure; SLAs &amp; external/continuous scanning not stated.        |     9% |     **4.5** |        **0.41** |
| 8  | **Audit Log Management** (Ctrl 8)                     | Centralized encrypted storage; regular reviews; 12‑month retention.                         | 12 months may be short for some use cases; coverage &amp; correlated detections not detailed.    |     7% |     **3.0** |            0.21 |
| 9  | **Browser &amp; Email Protections** (Ctrl 9)              | Fully supported; centrally enforced; quarterly version list review.                         | Phishing controls/sandboxing/DMARC/MTA‑STS not specified.                                    |     3% |     **2.0** |            0.06 |
| 10 | **Antimalware** (Ctrl 10)                             | Deployed org‑wide; regular scans; anti‑exploit; centralized mgmt; quarterly efficacy tests. | EDR/XDR &amp; behavioral detections not explicitly stated.                                       |     5% |     **2.0** |            0.10 |
| 11 | **Data/Information Recovery** (Ctrl 11)               | Regular secure backups; **RTO 8h**; recovery logs reviewed.                                 | RPO/testing cadence/scope for tier‑0 systems not specified; immutability/air‑gap not stated. |     6% |     **3.0** |            0.18 |
| 12 | **Keep Network Infra Updated** (Ctrl 12)              | Patches applied promptly; changes tracked; semi‑annual audits.                              | Defined patch SLAs &amp; auto‑compliance checks not detailed.                                    |     5% |     **3.0** |            0.15 |
| 13 | **Centralization of Security Events** (Ctrls 8/13)    | Real‑time alerting to a central platform; specialist analysis.                              | Use‑case coverage &amp; response playbooks/metrics not detailed.                                 |     4% |     **2.0** |            0.08 |
| 14 | **Security Awareness &amp; Training** (Ctrl 14)           | Mandatory annual training.                                                                  | Frequency may be low; phishing drills/role‑based training not mentioned.                     |     4% |     **4.0** |            0.16 |
| 15 | **Service Provider (Third‑Party) Mgmt** (Ctrl 15)     | Inventory maintained; **annual** assessments.                                               | Risk‑based cadence, contractual security clauses &amp; continuous monitoring not detailed.       |     5% |     **4.0** |            0.20 |
| 16 | **Secure Software Development** (Ctrl 16)             | Secure SDLC; secure coding; regular reviews/tests; continuous patching.                     | Tooling (SAST/DAST/SCA), SBOM, signed builds, secret scanning not specified.                 |     4% |     **3.0** |            0.12 |
| 17 | **Incident Response** (Ctrl 17)                       | IR process; designated team; training; post‑incident reviews.                               | Exercise cadence/MTTD/MTTR &amp; comms/RCA standards not stated.                                 |     6% |     **3.0** |            0.18 |
| 18 | **Penetration Testing / Attack Simulation** (Ctrl 18) | Regular tests on critical systems &amp; infra; corrective actions taken.                        | Frequency, scope (apps/cloud), independence, retesting not specified.                        |     3% |     **3.0** |            0.09 |
**Weighted total = 3.06 → *rounded* overall: 3.1 / 10 (Low)**
---
## Prioritized remediation (what would most reduce risk fastest)
1. **Move from monthly to risk‑based/continuous vulnerability discovery**
   * **Target:** External assets scanned **daily**; internal **weekly**; authenticated scans for servers; agent‑based sensor for laptops.
   * **Patch SLAs:** Critical 7 days, High 15, Medium 30, Low 90.
   * **Add:** Exploit‑based prioritization; track MTTR by asset class; require remediation verification.
2. **Close the software inventory gap &amp; control installations**
   * **Target:** ≥98% coverage with **automated** discovery (agents + network discovery + cloud registries).
   * Implement **application allow‑listing** (for servers) and publisher allow‑listing (for workstations); block unsigned drivers; auto‑quarantine unknown software.
3. **Strengthen third‑party oversight (they are a provider to us and have their own vendors)**
   * **Target:** Risk‑based tiering; critical providers reviewed **quarterly**, High **semi‑annually**, others **annually**.
   * Require **security addendum** (MFA, SSO, logging, breach notice ≤24h, vuln SLAs, data location), **right‑to‑audit**, and evidence (e.g., SOC 2/ISO 27001, pen‑test attestation).
4. **Deepen detection &amp; logging outcomes**
   * **Target:** Demonstrate use‑case coverage (e.g., IAM abuse, lateral movement, data exfil).
   * Increase retention to **18–24 months** for high‑value logs or ensure cold storage; tune rules; publish detection coverage map; track **MTTD/MTTR**.
5. **People &amp; process rigor**
   * Awareness: add **quarterly micro‑training** + continuous phishing simulations (role‑based for finance/IT).
   * Incident Response: run **semi‑annual table‑tops** (include us), define and report **response KPIs**; confirm crisis communications plan.
   * Data recovery: quarterly **restore tests** for Tier‑0/Tier‑1 systems; verify immutability and offsite/air‑gap.
---
## Access &amp; contractual guardrails we should require before connecting them
* **Identity &amp; device:** Enforce **SSO + MFA**, device posture checks, and **least‑privilege**; **JIT** elevation for admin tasks; break‑glass accounts vaulted and monitored.
* **Network:** **Segment** partner access; restrict to approved apps via **ZTA/identity‑aware proxy**; IP allow‑listing or dedicated VPN with mTLS; no shared accounts.
* **Data:** Share only the **minimum** required datasets; apply field‑level masking and **customer data pseudonymization** where feasible; define **RPO/RTO** for any data they hold.
* **Logging:** Forward partner access logs (auth, admin, data access) to our SIEM; require **24×7** alerting for our accounts and immediate containment cooperation.
* **Assurance:** Provide current policy set, last 2 vulnerability reports with remediation proof, last pen‑test executive summary with retest, and last 2 IR/table‑top summaries.
---
## Evidence we will request to validate claims (sampling list)
* Asset &amp; software inventory exports with coverage metrics; allow‑listing policy.
* Baseline/hardening standards + compliance reports (e.g., cis‑cat/SCM).
* Vuln mgmt runbooks, scan schedules, **age of open criticals**, patch SLAs &amp; performance.
* SIEM data flow diagram, log retention/configs, list of active detections &amp; recent high‑severity alerts.
* Email/web security posture (SPF/DKIM/DMARC policy, phishing filter configs, sandboxing).
* EDR/XDR deployment report &amp; detection testing summary.
* Backup architecture (immutability/offsite), last restore test report (RTO/RPO).
* IR plan, responder on‑call rota, KPI reports (MTTD/MTTR), table‑top minutes.
* Service provider register, risk tiering, latest assessments, contract security clauses.
* SDLC pipeline controls (SAST/DAST/SCA, secret scanning, **SBOM**, build signing) and release gates.
* Pen‑test scope, tester independence, frequency, retest evidence.
---
## Bottom line
* **This partner’s current residual risk to us is Low (3.1/10)** given strong baselines across asset/account control, hardening, centralized logging, and endpoint protection.
* The **largest single gap** is **software visibility/control** (85% coverage, manual) and a **monthly** vulnerability cadence—both can be tightened with automation and risk‑based frequencies.
* With the guardrails and evidence above, this partner appears **acceptable to onboard** for access to our resources; re‑score after evidence review.
If you’d like, I can convert this into a one‑page scorecard and a remediation plan with owners and due dates.
</t>
  </si>
  <si>
    <t xml:space="preserve">Below is a concise, evidence‑based risk rating for this partner using a 0–10 scale, where **0 = low risk** (strong, well‑operationalized controls) and **10 = high risk** (material gaps or control absence). Ratings reflect the *residual* risk implied by the answers, not proof via audit evidence.
---
## Per‑control risk ratings and rationale
| #  | Topic (CIS v8 area)                                           | Risk (0–10) | Why this rating                                                                                                                                                                           |
| -- | ------------------------------------------------------------- | ----------: | ----------------------------------------------------------------------------------------------------------------------------------------------------------------------------------------- |
| 1  | **Hardware Asset Inventory** (CIS 01)                         |     **1.5** | \~98% coverage with continuous, automated updates. Residual risk from unknown 2% and need for periodic reconciliation.                                                                    |
| 2  | **Software Asset Inventory &amp; Control** (CIS 02)               |     **4.5** | \~85% coverage and **manual** updates create meaningful blind spots for unauthorized/vulnerable software; automation &amp; allow‑listing not stated.                                          |
| 3  | **Information/Data Management** (CIS 03)                      |     **2.0** | Formal process, classification, 6‑monthly audits, access reviews. Minor residuals: data lifecycle (retention/destruction), DLP, and encryption controls not described.                    |
| 4  | **Secure Configuration (Hardening/Baselines)** (CIS 04)       |     **1.5** | CIS‑based baselines, standardized and reviewed quarterly. Small residual: continuous drift detection/enforcement not mentioned.                                                           |
| 5  | **User Account Inventories** (CIS 05)                         |     **1.5** | Central inventory, frequent automatic updates, prompt deactivation. Residual: no explicit periodic orphan/privileged account attestation cadence.                                         |
| 6  | **Access Provisioning (RBAC/Least Privilege)** (CIS 06)       |     **1.5** | Formal process, least‑privilege approvals, periodic reviews, role‑based. Residual: joiner‑mover‑leaver SLAs/MFA everywhere not explicit.                                                  |
| 7  | **Vulnerability Management** (CIS 07)                         |     **3.5** | Enterprise‑wide process with monthly scans and prioritization. Residual: monthly cadence may be slow for internet‑facing/critical assets; patch SLAs and continuous discovery not stated. |
| 8  | **Audit Log Management** (CIS 08)                             |     **2.0** | Centralized, encrypted, automated collection; regular reviews; 12‑month retention. Residual: integrity/immutability (WORM), time‑sync, and “90‑day hot/searchable” not specified.         |
| 9  | **Browsers &amp; Email Clients** (CIS 09)                         |     **1.5** | Fully supported/updated versions; centrally enforced settings; quarterly list review. Residual: isolation/sandboxing &amp; attack‑surface hardening not described.                            |
| 10 | **Anti‑malware** (CIS 10)                                     |     **2.0** | Deployed on all endpoints; regular scans; anti‑exploit; centralized mgmt; quarterly efficacy tests. Residual: no explicit EDR/XDR behavior analytics or tamper protection detail.         |
| 11 | **Data &amp; Information Recovery** (CIS 11)                      |     **3.0** | Regular, secure backups; critical data RTO ≤ 8h; recovery logs reviewed. Residual: RPO not stated, immutability/offline copy (3‑2‑1), and restore test frequency/coverage not detailed.   |
| 12 | **Network Infrastructure Up to Date** (CIS 12)                |     **2.0** | Regular firmware/patching, tracked changes, 6‑monthly audits. Residual: automated config compliance and device vuln scanning not described.                                               |
| 13 | **Centralization of Security Events** (SIEM/SOAR) (CIS 08/13) |     **1.5** | Real‑time centralized alerts for critical events with specialized teams. Residual: clarity on 24×7 coverage, use‑case tuning, NDR/EDR/SaaS log sources.                                   |
| 14 | **Security Awareness Program** (CIS 14)                       |     **4.0** | Annual mandatory training is good baseline; human risk remains elevated without ongoing phishing simulations, role‑based micro‑learning, and metrics.                                     |
| 15 | **Third‑Party / Vendor Management** (CIS 15)                  |     **3.5** | Inventory and periodic/annual assessments. Residual: security clauses (MFA, breach notice, right‑to‑audit), tiering by criticality, and continuous monitoring not specified.              |
| 16 | **Secure Software Development** (CIS 16)                      |     **2.5** | SDLC with secure coding, code audits, vuln testing, continuous patching. Residual: threat modeling, SAST/DAST/DA dependency/SBOM, secrets &amp; pipeline/hardening not explicit.              |
| 17 | **Incident Response** (CIS 17)                                |     **2.5** | Documented process, named team, regular training, post‑incident reviews. Residual: tested playbooks, RACI &amp; comms, 24×7 on‑call and MTTA/MTTR targets not stated.                         |
| 18 | **Penetration Testing / Attack Simulation** (CIS 18)          |     **2.5** | Regular tests on critical systems by specialists with remediation. Residual: frequency/scope (apps, cloud, social, red‑team) and retest cadence not stated.                               |
---
## Overall risk rating (this partner)
* **Weighted overall score:** **2.5 / 10 (Low)**
  *Method:* Heavier weight on high‑impact controls for third‑party connectivity (CIS 02, 04, 06, 07, 08, 11, 15, 17).
* *(For reference: simple average = 2.4 / 10 — also Low.)*
**Top residual risk drivers:**
1. **Software inventory coverage &amp; manual updates (#2)**, 2) **Security awareness cadence (#14)**, 3) **Vulnerability scanning cadence &amp; SLAs (#7)**, 4) **Third‑party oversight depth (#15)**, 5) **Backup/RPO/immutability details (#11)**.
**Confidence level:** *Moderate* (responses are self‑attested; no evidence reviewed).
---
## Targeted improvements to reduce risk (prioritized)
1. **Automate software inventory to ≥95–98%**; enforce allow‑listing for servers and high‑risk endpoints; integrate discovery with CMDB and patching.
2. **Tighten vuln management:** weekly/daily scans for internet‑facing assets; risk‑based patch SLAs (e.g., Critical ≤7 days); continuous discovery; measure MTTR.
3. **Awareness program:** add quarterly micro‑training and monthly phishing simulations with role‑based scenarios; track failure rates and repeat‑offender coaching.
4. **Backups/DR:** define &amp; test RPO by data class; implement immutable/offline copies (WORM/object lock); perform quarterly restore tests across representative systems.
5. **Third‑party governance:** tier vendors by criticality; require MFA/SSO, encryption, IR/breach notice timelines, right‑to‑audit; add continuous monitoring (e.g., security ratings, attestations between annual reviews).
6. **EDR/XDR &amp; logging integrity:** confirm behavior‑based EDR with tamper protection; ensure centralized logging has time‑sync, integrity controls, and ≥90 days hot retention.
7. **IR readiness:** maintain runbooks, comms plan, and conduct at least annual tabletop + technical exercises; define MTTA/MTTR targets and 24×7 escalation.
8. **SSDLC depth:** require threat modeling, SAST/DAST/Software Composition Analysis with SBOMs, secrets scanning, and CI/CD hardening; remediate prerelease.
---
### Summary
* **Conclusion:** Based on the provided answers, this partner presents a **Low overall security risk (2.5/10)** for connectivity to your environment, with **actionable gaps** concentrated in software asset control, human factors, vulnerability cadence, vendor governance depth, and backup/DR specifics.
* **Next step (due diligence):** Validate claims with artifacts (policies, tooling screenshots, sample reports, training metrics, restore test results, latest pen‑test &amp; remediation evidence). If critical access is planned, consider gating connection on the high‑impact improvements above.
</t>
  </si>
  <si>
    <t>DeepSeek V3.1 DeepThink</t>
  </si>
  <si>
    <t>Of course. As an information security analyst, I have evaluated the provided responses against the CIS Critical Security Controls and industry best practices. Here is my risk assessment for each question and an overall risk rating for the partner.
---
### **Individual Question Risk Assessment**
**1. Topic: Hardware Asset Inventory**
*   **Client's Response:** Comprehensive (98% coverage), automated, real-time inventory.
*   **Risk Level:** **0 (Low Risk)**
*   **Analysis:** This is an exemplary response. An automated, near-total inventory provides excellent visibility and is a cornerstone of effective security. This significantly reduces the risk of unmanaged devices on the network.
**2. Topic: Software Asset Inventory and Control**
*   **Client's Response:** 85% coverage, maintained through manual processes.
*   **Risk Level:** **3 (Moderate Risk)**
*   **Analysis:** While 85% coverage is good, the reliance on *manual* processes is a significant weakness. Manual processes are prone to error, slower to update, and less scalable. The 15% gap represents a tangible attack surface (shadow IT).
**3. Topic: Information Management**
*   **Client's Response:** Formal process with data classification, semi-annual audits, and regular access reviews.
*   **Risk Level:** **1 (Low Risk)**
*   **Analysis:** This demonstrates a mature, structured approach to data governance. Regular audits and access reviews are key controls that validate the process is working effectively.
**4. Topic: Secure Configuration Process**
*   **Client's Response:** Process in place based on CIS benchmarks, standardized, and reviewed quarterly.
*   **Risk Level:** **0 (Low Risk)**
*   **Analysis:** Aligning with the CIS framework is a strong practice. Standardization and quarterly reviews ensure configurations remain secure against evolving threats. This is a model response.
**5. Topic: User Account Inventories**
*   **Client's Response:** Comprehensive, automatically updated inventory with central management and prompt deactivation of unused accounts.
*   **Risk Level:** **0 (Low Risk)**
*   **Analysis:** Centralized, automated management of accounts is a critical control. Prompt deactivation drastically reduces the risk associated with orphaned accounts, a common attack vector.
**6. Topic: Access Provisioning**
*   **Client's Response:** Formal process based on least privilege, with periodic reviews and role-based access.
*   **Risk Level:** **1 (Low Risk)**
*   **Analysis:** Adherence to the principle of least privilege and conducting periodic access reviews are fundamental and effective security practices. This is a robust control.
**7. Topic: Vulnerability Management**
*   **Client's Response:** Process covers all assets, with monthly scans and regular review of reports.
*   **Risk Level:** **2 (Low-Moderate Risk)**
*   **Analysis:** The scope is good, but **monthly scans may be insufficient** for critical systems in a high-threat environment. Best practice often leans toward continuous monitoring or weekly scans for critical assets. The risk is not high, but there is room for improvement.
**8. Topic: Log and Activity Record Management**
*   **Client's Response:** Automatic collection, centralized encrypted storage, regular reviews, 12-month retention.
*   **Risk Level:** **0 (Low Risk)**
*   **Analysis:** This is a comprehensive and mature logging program. Centralization, encryption, automated analysis, and a defined retention policy are all indicators of a strong security posture.
**9. Topic: Use of Browsers and Email Clients**
*   **Client's Response:** Fully supported versions, regular updates, centrally enforced security settings, quarterly reviews.
*   **Risk Level:** **1 (Low Risk)**
*   **Analysis:** Centralized management and enforcement of secure configurations for these common attack vectors is excellent. The quarterly review cycle is appropriate.
**10. Topic: Antimalware**
*   **Client's Response:** Deployed on all endpoints, regular scans, quarterly effectiveness testing, anti-exploit features enabled, central management.
*   **Risk Level:** **0 (Low Risk)**
*   **Analysis:** This goes beyond basic deployment. Testing effectiveness and using advanced features like anti-exploit demonstrate a deep commitment to endpoint protection.
**11. Topic: Data and Information Recovery**
*   **Client's Response:** Process in place, regular secure backups, 8-hour RTO, recovery logs reviewed.
*   **Risk Level:** **1 (Low Risk)**
*   **Analysis:** A defined Recovery Time Objective (RTO) and validation through log reviews show this is a tested and reliable process. This adequately mitigates the risk of data loss.
**12. Topic: Keeping Network Infrastructure Up to Date**
*   **Client's Response:** Regular updates, prompt patching, change tracking, semi-annual audits.
*   **Risk Level:** **1 (Low Risk)**
*   **Analysis:** Prompt patching of network devices is critical. Change tracking and compliance audits provide strong assurance that this process is followed consistently.
**13. Topic: Centralization of Information Security Events**
*   **Client's Response:** All alerts centralized on a dedicated platform for real-time monitoring and analysis by a dedicated team.
*   **Risk Level:** **0 (Low Risk)**
*   **Analysis:** A Security Information and Event Management (SIEM) system with a dedicated team is the gold standard for detection and response capabilities.
**14. Topic: Awareness Program**
*   **Client's Response:** Active program, mandatory annual training for all employees.
*   **Risk Level:** **3 (Moderate Risk)**
*   **Analysis:** While having a program is positive, **annual training is insufficient**. The threat landscape evolves too quickly. Best practice is continuous training (e.g., quarterly phishing simulations, regular security bulletins). This represents a notable human risk factor.
**15. Topic: Third-Party, Partner, and Vendor Management**
*   **Client's Response:** Inventory maintained, periodic reviews, annual security assessments.
*   **Risk Level:** **2 (Low-Moderate Risk)**
*   **Analysis:** This is a good baseline. The risk is moderate because the response lacks detail on the *depth* of the assessments (e.g., questionnaires vs. audits) and how risks are enforced and remediated.
**16. Topic: Secure Software Development**
*   **Client's Response:** Secure SDLC established, secure coding standards, regular security reviews (testing, audits), continuous patching.
*   **Risk Level:** **1 (Low Risk)**
*   **Analysis:** Integrating security throughout the development lifecycle (DevSecOps) is a leading practice. This significantly reduces the risk of introducing vulnerabilities into software.
**17. Topic: Incident Response**
*   **Client's Response:** Process in place, designated team, regular training, incidents documented and reviewed.
*   **Risk Level:** **1 (Low Risk)**
*   **Analysis:** The presence of a trained team and a process for lessons learned indicates a proactive and mature incident response capability.
**18. Topic: Penetration Testing**
*   **Client's Response:** Program in place, regular tests on critical systems by specialized teams, with prompt corrective actions.
*   **Risk Level:** **0 (Low Risk)**
*   **Analysis:** Regular penetration testing by skilled testers is one of the best ways to validate security controls from an attacker's perspective. The commitment to remediation is key.
---
### **Overall Partner Risk Assessment**
**Overall Risk Level: 2 (Low-Moderate Risk)**
**Justification:**
This partner demonstrates a **strong and mature cybersecurity posture** across nearly all evaluated domains. Their practices are largely aligned with the CIS Critical Security Controls, featuring extensive automation, formal processes, and regular reviews—which are hallmarks of an effective security program.
The overall risk is elevated from "Low" to "Low-Moderate" due to a few specific areas:
1.  **Manual Software Inventory (Q2):** This creates a gap where unauthorized or unpatched software could exist.
2.  **Infrequent Vulnerability Scanning (Q7):** Monthly scans may allow critical vulnerabilities to persist for too long in a dynamic threat environment.
3.  **Annual Security Awareness Training (Q14):** This is the most significant concern, as humans are often the weakest link. Annual training is not adequate to maintain a strong security culture and vigilance against modern social engineering attacks.
**Conclusion:** This partner represents a **acceptably low level of risk** to your company. They are clearly security-conscious. It is recommended to proceed with the partnership, but these specific areas (Q2, Q7, Q14) should be noted for follow-up discussions or monitored during the relationship.</t>
  </si>
  <si>
    <t>Of course. As an information security analyst, I have evaluated the provided responses against the CIS Critical Security Controls framework and industry best practices. Here is my risk assessment for this partner.
### Overall Risk Assessment
Based on the responses provided, the partner demonstrates a mature, well-documented, and proactive information security program. Their answers indicate strong adherence to the CIS controls through automated systems, formal processes, regular reviews, and audits.
The few areas of minor risk are related to the manual process for software inventory and the annual frequency of security awareness training, which is the bare minimum. However, these are significantly outweighed by the overwhelming number of robust controls in place.
**Overall Partner Risk Rating: 1.5 / 10** (Low Risk)
---
### Detailed Risk Assessment per Question
Here is the risk level assigned to each individual topic based on the client's response:
1.  **Hardware Asset Inventory**
    *   **Response:** Comprehensive (98% coverage), automated, real-time inventory.
    *   **Risk Rating:** 0/10 (Excellent)
    *   **Justification:** This exceeds best practices. Automated, near-total coverage leaves almost no room for unknown assets.
2.  **Software Asset Inventory and Control**
    *   **Response:** 85% coverage, maintained through manual processes.
    *   **Risk Rating:** 3/10 (Low-Moderate Risk)
    *   **Justification:** 85% is good but not excellent. The primary risk factor is the reliance on **manual processes**, which are prone to human error and lag, potentially missing new installations or updates. An automated solution would be preferable.
3.  **Information Management**
    *   **Response:** Formal process in place, data classified, semi-annual audits, regular access reviews.
    *   **Risk Rating:** 1/10 (Very Low Risk)
    *   **Justification:** A formal, audited process with data classification and access reviews aligns perfectly with best practices.
4.  **Secure Configuration Process**
    *   **Response:** Process in place based on CIS benchmarks, standardized, reviewed quarterly.
    *   **Risk Rating:** 0/10 (Excellent)
    *   **Justification:** Using the CIS framework itself as a baseline and having a frequent review cycle is exemplary.
5.  **User Account Inventories**
    *   **Response:** Full inventory, frequently and automatically updated, centralized management, unused accounts deactivated.
    *   **Risk Rating:** 0/10 (Excellent)
    *   **Justification:** Automated, centralized, and proactive management of accounts is a top-tier control.
6.  **Access Provisioning**
    *   **Response:** Formal process, least privilege, periodic reviews, role-based access.
    *   **Risk Rating:** 1/10 (Very Low Risk)
    *   **Justification:** This describes a mature Identity and Access Management (IAM) process that follows core security principles.
7.  **Vulnerability Management**
    *   **Response:** Process for all assets, vulnerabilities prioritized, monthly scans, regular reporting.
    *   **Risk Rating:** 2/10 (Low Risk)
    *   **Justification:** Comprehensive coverage and monthly scans are strong. Risk is slightly above zero because the response does not explicitly mention a defined SLA for patching critical vulnerabilities.
8.  **Log and Activity Record Management**
    *   **Response:** Formal process, automatic collection, centralized encrypted storage, regular reviews, 12-month retention.
    *   **Risk Rating:** 0/10 (Excellent)
    *   **Justification:** This response checks every box for a best-practice logging and monitoring strategy.
9.  **Use of Browsers and Email Clients**
    *   **Response:** Fully supported versions, regular updates, centrally enforced security settings, quarterly reviews.
    *   **Risk Rating:** 1/10 (Very Low Risk)
    *   **Justification:** Centralized management and enforcement of secure configurations greatly reduces risk from these common attack vectors.
10. **Antimalware**
    *   **Response:** Deployed on all endpoints, regular scans, quarterly effectiveness testing, anti-exploit features, central management.
    *   **Risk Rating:** 1/10 (Very Low Risk)
    *   **Justification:** Going beyond simple deployment to test effectiveness and using advanced features like anti-exploit shows a deep commitment to endpoint protection.
11. **Data and Information Recovery**
    *   **Response:** Process in place, regular secure backups, 8-hour RTO, logs reviewed.
    *   **Risk Rating:** 2/10 (Low Risk)
    *   **Justification:** The 8-hour Recovery Time Objective (RTO) is acceptable for many business processes. The risk is low but non-zero, as the response does not detail the Recovery Point Objective (RPO) or the frequency of backups.
12. **Keeping Network Infrastructure Up to Date**
    *   **Response:** Regularly updated, prompt patching, change tracking, bi-annual audits.
    *   **Risk Rating:** 1/10 (Very Low Risk)
    *   **Justification:** Strong change control and regular compliance auditing ensure the network is a controlled and secure asset.
13. **Centralization of Information Security Events (SIEM)**
    *   **Response:** All alerts centralized on a dedicated platform, real-time monitoring, analyzed by specialized teams.
    *   **Risk Rating:** 1/10 (Very Low Risk)
    *   **Justification:** The implementation of a Security Information and Event Management (SIEM) system with a dedicated SOC team is a hallmark of a advanced security program.
14. **Awareness Program**
    *   **Response:** Active program, mandatory for all employees, conducted annually.
    *   **Risk Rating:** 4/10 (Moderate Risk)
    *   **Justification:** While having a program is good, **annual training is insufficient** by modern standards. Best practice includes continuous reinforcement through phishing simulations, quarterly mini-trainings, and ongoing communications. This is the partner's most significant control gap.
15. **Third-Party Management**
    *   **Response:** Provider inventory maintained, periodic reviews, annual security assessments.
    *   **Risk Rating:** 2/10 (Low Risk)
    *   **Justification:** This shows a proactive approach to third-party risk. The risk is low as they are doing more than most, but "annual" assessments could miss changes in a partner's security posture throughout the year.
16. **Secure Software Development**
    *   **Response:** Established process (SDLC), secure coding standards, regular security reviews (testing/audits), continuous patching.
    *   **Risk Rating:** 1/10 (Very Low Risk)
    *   **Justification:** Integrating security throughout the development lifecycle is the definitive way to build secure software.
17. **Incident Response**
    *   **Response:** Process in place, designated team, regular training, incidents documented and reviewed.
    *   **Risk Rating:** 1/10 (Very Low Risk)
    *   **Justification:** A tested IR plan with a dedicated team is a critical and well-implemented control.
18. **Penetration Testing**
    *   **Response:** Program in place, regular tests on critical systems, performed by specialized teams, corrective actions taken.
    *   **Risk Rating:** 1/10 (Very Low Risk)
    *   **Justification:** Regular offensive security testing by experts is a best practice that significantly reduces risk.
### Conclusion and Recommendation
This partner presents a **Low Risk** to your company. Their security posture is robust, evidenced by widespread automation, formalized processes, and a regular cycle of testing and auditing.
**Recommendation:** This partner is likely safe to engage with from an information security perspective. It is recommended to:
*   **Proceed** with the partnership.
*   **Note** the two minor gaps (manual software inventory and annual awareness training) for future discussion or during the next annual assessment. These are not significant enough to warrant rejection or immediate remediation demands but are areas where the partner could further improve.</t>
  </si>
  <si>
    <t>Of course. As an information security analyst, I have evaluated the provided responses against the CIS Critical Security Controls framework. My assessment focuses on identifying strengths and potential gaps that could introduce risk to our company.
Here is the question-by-question risk analysis, followed by the overall risk rating.
---
### **Question-by-Question Risk Assessment**
**1. Topic: Hardware Asset Inventory**
*   **Client's Response:** Comprehensive (98% coverage), automated, real-time inventory.
*   **Risk Level:** **1 (Very Low Risk)**
*   **Justification:** This is a best-practice response. Automated, near-total coverage of hardware assets provides excellent visibility and is a strong foundation for all other security controls.
**2. Topic: Software Asset Inventory and Control**
*   **Client's Response:** 85% coverage, maintained through manual processes.
*   **Risk Level:** **4 (Moderate Risk)**
*   **Justification:** While 85% is good, the reliance on **manual processes** is a significant gap. This introduces the risk of human error, lag time in updates, and potential for unaccounted (shadow IT) software to persist, creating a vulnerability blind spot.
**3. Topic: Information Management**
*   **Client's Response:** Formal process exists with data classification, semi-annual audits, and regular access reviews.
*   **Risk Level:** **2 (Low Risk)**
*   **Justification:** A formal, audited process with regular access reviews demonstrates strong data governance. The semi-annual audit cycle is reasonable and indicates ongoing compliance.
**4. Topic: Secure Configuration Process**
*   **Client's Response:** Process in place based on CIS benchmarks, standardized, and reviewed quarterly.
*   **Risk Level:** **1 (Very Low Risk)**
*   **Justification:** This is an exemplary response. Using the CIS framework itself and having a quarterly review cycle indicates a mature, proactive approach to system hardening.
**5. Topic: User Account Inventories**
*   **Client's Response:** Comprehensive, automatically updated inventory with central management and prompt deactivation of unused accounts.
*   **Risk Level:** **1 (Very Low Risk)**
*   **Justification:** Automation and central management are key. This minimizes the risk of orphaned accounts and ensures accurate visibility into who has access to what.
**6. Topic: Access Provisioning**
*   **Client's Response:** Formal process based on least privilege and periodic reviews.
*   **Risk Level:** **2 (Low Risk)**
*   **Justification:** The principles of least privilege and periodic access reviews are correctly implemented. This effectively mitigates the risk of privilege creep and unauthorized access.
**7. Topic: Vulnerability Management**
*   **Client's Response:** Process covers all assets, with monthly scans and prioritization.
*   **Risk Level:** **3 (Low-Moderate Risk)**
*   **Justification:** The scope and prioritization are good. However, **monthly scans** may be insufficient for critical assets in a dynamic threat environment. A higher frequency (e.g., weekly or continuous) for critical systems is a best practice to reduce the window of exposure.
**8. Topic: Log and Activity Record Management**
*   **Client's Response:** Centralized, encrypted, automated collection with regular reviews and a 12-month retention policy.
*   **Risk Level:** **1 (Very Low Risk)**
*   **Justification:** This response meets and exceeds typical requirements. Secure centralization, active review, and a clear retention policy are hallmarks of a robust security monitoring program.
**9. Topic: Use of Browsers and Email Clients**
*   **Client's Response:** Fully supported versions with centrally enforced security settings and quarterly reviews.
*   **Risk Level:** **1 (Very Low Risk)**
*   **Justification:** Centralized enforcement and quarterly review of supported versions significantly reduce the attack surface related to common entry points for threats.
**10. Topic: Antimalware**
*   **Client's Response:** Deployed on all endpoints, regular scans, quarterly effectiveness testing, and central management.
*   **Risk Level:** **1 (Very Low Risk)**
*   **Justification:** Comprehensive coverage, regular testing, and central management indicate a very strong endpoint protection posture.
**11. Topic: Data and Information Recovery**
*   **Client's Response:** Process in place, regular secure backups, and an 8-hour RTO (Recovery Time Objective) for critical data.
*   **Risk Level:** **2 (Low Risk)**
*   **Justification:** A defined and tested RTO provides confidence in their ability to recover from an incident. The key would be to verify the testing results of the recovery process.
**12. Topic: Keeping Network Infrastructure Up to Date**
*   **Client's Response:** Regular updates, prompt patching, change tracking, and semi-annual audits.
*   **Risk Level:** **2 (Low Risk)**
*   **Justification:** Documented change control and compliance audits demonstrate a disciplined approach to network security maintenance.
**13. Topic: Centralization of Information Security Events**
*   **Client's Response:** All alerts centralized on a dedicated platform for real-time monitoring and analysis.
*   **Risk Level:** **1 (Very Low Risk)**
*   **Justification:** Centralized security monitoring (e.g., SIEM) is critical for detecting and responding to threats across the environment. This is a significant strength.
**14. Topic: Awareness Program**
*   **Client's Response:** Active program with mandatory annual training.
*   **Risk Level:** **4 (Moderate Risk)**
*   **Justification:** While an existing program is positive, **annual training is insufficient**. The threat landscape evolves rapidly, and users are a primary target. Best practice includes initial training plus frequent, topical refreshers (e.g., quarterly phishing simulations) to maintain vigilance.
**15. Topic: Third-Party, Partner, and Vendor Management**
*   **Client's Response:** Inventory maintained, periodic reviews, and annual security assessments.
*   **Risk Level:** **3 (Low-Moderate Risk)**
*   **Justification:** They have a process, but the key detail is vague. The **depth of the annual assessments** is crucial. Are they reviewing compliance reports (e.g., SOC 2) or conducting their own penetration tests? An annual check may not catch emerging risks within a partner's environment throughout the year.
**16. Topic: Secure Software Development**
*   **Client's Response:** Secure SDLC implemented with secure coding, security reviews, and continuous patching.
*   **Risk Level:** **2 (Low Risk)**
*   **Justification:** Embedding security throughout the development lifecycle is a core best practice. This significantly reduces the risk of introducing vulnerabilities into applications we might use or integrate with.
**17. Topic: Incident Response**
*   **Client's Response:** Process in place with a designated team, regular training, and documentation.
*   **Risk Level:** **2 (Low Risk)**
*   **Justification:** The presence of a trained team and a documented process is excellent. The effectiveness would depend on the scope and realism of their training exercises.
**18. Topic: Penetration Testing**
*   **Client's Response:** Program in place with regular tests on critical systems by specialized teams.
*   **Risk Level:** **1 (Very Low Risk)**
*   **Justification:** Proactive penetration testing by specialized teams is a strong indicator of a mature security program that seeks to find and fix flaws before attackers can exploit them.
---
### **Overall Risk Assessment and Conclusion**
**Overall Partner Risk Rating: 2 (Low Risk)**
**Summary Justification:**
This partner demonstrates a **mature and robust cybersecurity posture** that is largely aligned with the CIS Critical Security Controls. Their responses indicate widespread adoption of automation, centralized management, formal processes, and proactive measures like penetration testing.
The few areas of moderate risk (**Questions 2, 7, 14, 15**) are not critical flaws but represent opportunities for improvement to reach a best-in-class standard. The most significant concerns are:
1.  The manual process for software inventory.
2.  The annual frequency of security awareness training.
3.  The potential lack of depth or frequency in their third-party risk management.
**Recommendation:**
This partner presents a **low risk** to our company. It is recommended to proceed with the partnership. However, these moderate-risk areas should be noted in the contract and monitored during the relationship. Requesting evidence of their penetration test reports or their third-party assessment methodology could provide further assurance.</t>
  </si>
  <si>
    <t>Of course. As an information security analyst, I have evaluated the partner's responses against the CIS Critical Security Controls and industry best practices. The risk rating is assigned on a scale of 0 (low risk) to 10 (high risk) for each question, followed by an overall assessment.
---
### **Individual Question Risk Assessment**
**1. Topic: Hardware Asset Inventory**
*   **Risk Rating: 1 (Low Risk)**
*   **Justification:** A 98% coverage with real-time automated updates is an excellent implementation of CIS Control 1 (Inventory and Control of Enterprise Assets). This significantly reduces the risk of unmanaged devices on the network.
**2. Topic: Software Asset Inventory and Control**
*   **Risk Rating: 3 (Low-Medium Risk)**
*   **Justification:** While 85% coverage is good, the use of manual processes for updates introduces risk of human error and lag time. CIS Control 2 (Inventory and Control of Software Assets) emphasizes automation. The gap of 15% represents potential shadow IT or unpatched software.
**3. Topic: Information Management**
*   **Risk Rating: 2 (Low Risk)**
*   **Justification:** The presence of a formal process with data classification, regular audits, and access reviews aligns well with CIS Control 3 (Data Protection). The six-month audit cycle is a reasonable and defensible timeframe.
**4. Topic: Secure Configuration Process**
*   **Risk Rating: 1 (Low Risk)**
*   **Justification:** Using the CIS framework itself as a baseline and conducting quarterly reviews is a robust implementation of CIS Control 4 (Secure Configuration of Enterprise Assets and Software). This demonstrates a mature security posture.
**5. Topic: User Account Inventories**
*   **Risk Rating: 1 (Low Risk)**
*   **Justification:** A frequently updated, automated inventory with centralized management and prompt deactivation of unused accounts is a strong implementation of CIS Control 5 (Account Management). This minimizes the risk of orphaned or malicious accounts.
**6. Topic: Access Provisioning**
*   **Risk Rating: 1 (Low Risk)**
*   **Justification:** A formal process adhering to the principle of least privilege, with role-based access and periodic reviews, is a textbook example of CIS Control 6 (Access Control Management). This is a low-risk response.
**7. Topic: Vulnerability Management**
*   **Risk Rating: 2 (Low Risk)**
*   **Justification:** A monthly scanning cycle is acceptable for most organizations. The key factors—that it covers *all* assets and includes prioritization and management review—show a mature process aligned with CIS Control 7 (Continuous Vulnerability Management). A more frequent (e.g., weekly) scan cycle would be even better.
**8. Topic: Log and Activity Record Management**
*   **Risk Rating: 1 (Low Risk)**
*   **Justification:** This response is exceptional. Automatic collection, centralized encrypted storage, dedicated review teams, and a 12-month retention policy meet and exceed the requirements of CIS Control 8 (Audit Log Management).
**9. Topic: Use of Browsers and Email Clients**
*   **Risk Rating: 1 (Low Risk)**
*   **Justification:** Fully supported software, centrally enforced security settings, and a quarterly review process demonstrate strong control over these common attack vectors, aligning with CIS Control 9 (Email and Web Browser Protections).
**10. Topic: Antimalware**
*   **Risk Rating: 1 (Low Risk)**
*   **Justification:** Deployment on all endpoints, regular scans, quarterly testing of effectiveness, and central management constitute a robust implementation of CIS Control 10 (Malware Defenses). Anti-exploit features are a significant plus.
**11. Topic: Data and Information Recovery**
*   **Risk Rating: 2 (Low Risk)**
*   **Justification:** A clear Recovery Time Objective (RTO) of 8 hours for critical data is reasonable. Regular, secure backups and log reviews show a solid process per CIS Control 11 (Data Recovery). The risk is not zero, as the response doesn't detail testing frequency of the recovery process itself.
**12. Topic: Keeping Network Infrastructure Up to Date**
*   **Risk Rating: 2 (Low Risk)**
*   **Justification:** Prompt patching, change tracking, and bi-annual audits form a strong foundation for CIS Control 12 (Network Infrastructure Management). This is a low-risk practice.
**13. Topic: Centralization of Information Security Events**
*   **Risk Rating: 1 (Low Risk)**
*   **Justification:** A dedicated Security Information and Event Management (SIEM) platform with real-time monitoring and dedicated analysts is the gold standard and fulfills the intent of CIS Control 13 (Network Monitoring and Defense).
**14. Topic: Awareness Program**
*   **Risk Rating: 4 (Medium Risk)**
*   **Justification:** While an active program is positive, annual training is insufficient against the modern threat landscape. Best practice is continuous training (e.g., quarterly phishing simulations, regular security bulletins). This frequency gap presents a measurable risk (CIS Control 14: Security Awareness and Skills Training).
**15. Topic: Third-Party Management**
*   **Risk Rating: 3 (Low-Medium Risk)**
*   **Justification:** Maintaining an inventory and conducting annual assessments is a good start. However, the response lacks detail on the *depth* of these assessments (e.g., do they use questionnaires like this one, require audits, or mandate specific certifications?). This lack of granularity introduces some uncertainty and risk per CIS Control 15 (Service Provider Management).
**16. Topic: Secure Software Development**
*   **Risk Rating: 1 (Low Risk)**
*   **Justification:** Integrating security throughout the development lifecycle (DevSecOps), following secure coding standards, and conducting regular reviews and testing is a mature and low-risk approach, aligning with CIS Control 16 (Application Software Security).
**17. Topic: Incident Response**
*   **Risk Rating: 2 (Low Risk)**
*   **Justification:** A defined process, a dedicated team, regular training, and documentation are all hallmarks of a good Incident Response program (CIS Control 17: Incident Response Management). The risk is low, assuming the training is frequent and the plan is tested via tabletop exercises.
**18. Topic: Penetration Testing**
*   **Risk Rating: 1 (Low Risk)**
*   **Justification:** A regular program targeting critical systems, performed by specialized teams, with a focus on remediation, is an excellent practice that exceeds the requirements of CIS Control 18 (Penetration Testing).
---
### **Overall Risk Assessment and Conclusion**
**Overall Partner Risk Rating: 2 (Low Risk)**
**Summary:**
This partner demonstrates a **mature and robust cybersecurity posture** that is well-aligned with the CIS Critical Security Controls. Their responses indicate that security is a prioritized, integrated, and well-managed function within their organization.
**Key Strengths:**
*   **Automation and Comprehensiveness:** Strong use of automation in asset inventory, account management, and log collection.
*   **Process Formalization:** Formal, documented processes are in place for critical areas like secure configuration, access control, vulnerability management, and incident response.
*   **Proactive Security Measures:** Practices like penetration testing, secure development lifecycles, and centralized security monitoring show a proactive, rather than reactive, approach.
**Areas for Minor Improvement:**
*   **Security Awareness Training:** Increasing the frequency of training and testing beyond an annual cycle would further reduce human risk.
*   **Software Inventory Automation:** Moving from manual to automated processes for software inventory would close a potential visibility gap.
*   **Third-Party Assessment Depth:** Providing more detail on the rigor of their third-party risk assessments would offer greater assurance.
**Recommendation:**
This partner presents a **low risk** to your company. They appear to be a security-conscious organization that would likely be a reliable and trustworthy link in your supply chain. Proceeding with the partnership is recommended from an information security perspective. Standard contractual obligations regarding security and breach notification should still be included.</t>
  </si>
  <si>
    <t>Of course. As an information security analyst, I will evaluate the provided responses against the CIS Controls framework and industry best practices. The risk rating is based on the maturity and completeness of the described security controls, with any gaps or weaknesses increasing the risk score.
Here is the risk assessment for each question and the overall partner risk.
---
### **Individual Question Risk Assessment**
1.  **Topic: Hardware Asset Inventory**
    *   **Risk Rating: 1 (Low Risk)**
    *   **Justification:** A 98% coverage with real-time automated updates represents a mature and highly effective asset management program. This is exemplary and significantly reduces risk by providing excellent visibility.
2.  **Topic: Software Asset Inventory and Control**
    *   **Risk Rating: 4 (Medium Risk)**
    *   **Justification:** While 85% coverage is good, it is not comprehensive. The remaining 15% represents a blind spot where unauthorized or vulnerable software could exist. The use of manual (vs. automated) processes increases the risk of human error and lag in updates.
3.  **Topic: Information Management**
    *   **Risk Rating: 2 (Low Risk)**
    *   **Justification:** The existence of a formal process with data classification, semi-annual audits, and regular access reviews demonstrates a strong control environment. This aligns well with CIS recommendations.
4.  **Topic: Secure Configuration Process**
    *   **Risk Rating: 1 (Low Risk)**
    *   **Justification:** Using the CIS framework itself as a baseline is a best practice. Standardized configurations and a quarterly review cycle ensure systems remain hardened against threats.
5.  **Topic: User Account Inventories**
    *   **Risk Rating: 1 (Low Risk)**
    *   **Justification:** A frequently updated, automated, and centralized inventory with prompt deactivation of unused accounts is a robust control. This minimizes the risk of unauthorized access via orphaned accounts.
6.  **Topic: Access Provisioning**
    *   **Risk Rating: 1 (Low Risk)**
    *   **Justification:** A formal process adhering to the principle of least privilege and role-based access, combined with periodic reviews, is a cornerstone of secure identity and access management.
7.  **Topic: Vulnerability Management**
    *   **Risk Rating: 3 (Low-Medium Risk)**
    *   **Justification:** The process is comprehensive in scope (covering all assets). However, monthly scans may be insufficient for critical assets where vulnerabilities can be exploited more quickly. A more frequent scanning cadence (e.g., weekly or continuous) for high-priority systems would further reduce risk.
8.  **Topic: Log and Activity Record Management**
    *   **Risk Rating: 1 (Low Risk)**
    *   **Justification:** This response describes a mature Security Information and Event Management (SIEM) practice: automated collection, centralized encrypted storage, dedicated review teams, and a 12-month retention policy. This is excellent for detection and forensics.
9.  **Topic: Use of Browsers and Email Clients**
    *   **Risk Rating: 1 (Low Risk)**
    *   **Justification:** Ensuring only supported versions are deployed with centrally enforced security settings is a critical control. The quarterly review cycle ensures timely updates, mitigating a common attack vector.
10. **Topic: Antimalware**
    *   **Risk Rating: 1 (Low Risk)**
    *   **Justification:** Comprehensive deployment on all endpoints, regular scans, quarterly testing, and central management indicate a very strong endpoint protection strategy. The enablement of anti-exploit features is a significant plus.
11. **Topic: Data and Information Recovery**
    *   **Risk Rating: 2 (Low Risk)**
    *   **Justification:** A defined Recovery Time Objective (RTO) of 8 hours for critical data is reasonable for many business functions. Regular backups, secure storage, and log reviews validate the integrity of the process.
12. **Topic: Keeping Network Infrastructure Up to Date**
    *   **Risk Rating: 2 (Low Risk)**
    *   **Justification:** Prompt patching, change tracking, and bi-annual compliance audits demonstrate a proactive and well-managed network environment, reducing the attack surface.
13. **Topic: Centralization of Information Security Events**
    *   **Risk Rating: 1 (Low Risk)**
    *   **Justification:** Real-time monitoring via a centralized platform is essential for modern security operations. This allows for rapid detection and response to incidents across the infrastructure.
14. **Topic: Awareness Program**
    *   **Risk Rating: 4 (Medium Risk)**
    *   **Justification:** While an annual program is better than nothing, it is the bare minimum. The evolving threat landscape, especially concerning phishing and social engineering, requires more frequent and engaging training (e.g., quarterly simulated phishing campaigns) to be truly effective. This is a notable gap.
15. **Topic: Third-Party Management**
    *   **Risk Rating: 3 (Low-Medium Risk)**
    *   **Justification:** Maintaining an inventory and conducting annual assessments is a good baseline. However, the risk rating is elevated because the response does not mention *how* these assessments are conducted (e.g., questionnaires, audits, penetration testing requirements) or how risk is tracked and remediated. The depth of the assessment is crucial.
16. **Topic: Secure Software Development**
    *   **Risk Rating: 1 (Low Risk)**
    *   **Justification:** Integrating security throughout the development lifecycle (DevSecOps), following secure coding standards, and conducting regular security reviews and testing is a mature and robust practice that significantly reduces application risk.
17. **Topic: Incident Response**
    *   **Risk Rating: 2 (Low Risk)**
    *   **Justification:** A designated team, regular training, and a process for documentation and review are key components of an effective IR plan. To be a "1", the response could have mentioned regular tabletop exercises or a defined playbook, but this is still strong.
18. **Topic: Penetration Testing**
    *   **Risk Rating: 1 (Low Risk)**
    *   **Justification:** A regular program focused on critical systems, performed by specialized teams, with a focus on remediation, is a best practice. This provides a real-world assessment of security controls beyond automated scanning.
---
### **Overall Partner Risk Assessment**
*   **Overall Risk Rating: 2 (Low Risk)**
**Summary Justification:**
This partner demonstrates a **highly mature and robust cybersecurity posture** that is well-aligned with the CIS Critical Security Controls. The vast majority of their responses indicate automated, formalized, and regularly reviewed processes that are critical for managing risk.
**Key Strengths:**
*   Excellent asset and configuration management.
*   Strong access control and vulnerability management practices.
*   Advanced logging, monitoring, and endpoint protection.
*   Mature incident response, secure development, and penetration testing programs.
**Areas for Observation (Reasons the score is not a perfect "1"):**
*   **Software Inventory (85%):** The gap in software inventory and reliance on manual processes is a tangible, though not critical, weakness.
*   **Security Awareness Frequency:** Annual training is insufficient against modern social engineering threats. This represents a potential human-factor vulnerability.
*   **Vulnerability Scan Cadence:** Monthly scans may leave a window of exposure for critical systems.
*   **Third-Party Assessment Depth:** The lack of detail on the rigor of their third-party risk management program introduces a minor degree of uncertainty.
**Conclusion:** This partner represents a **Low Risk** to your company. Their security controls are comprehensive and well-implemented. It is recommended to proceed with the partnership, though the contractual agreement should include provisions for addressing the minor gaps identified, particularly regarding the frequency of security awareness training and the desired cadence for vulnerability scanning on interconnected systems.</t>
  </si>
  <si>
    <t>Llama 4 Scout</t>
  </si>
  <si>
    <t>I'll evaluate the security risk associated with the partner based on the provided information and CIS standards. I'll assign a risk rating from 0 (low risk) to 10 (high risk) for each question and an overall risk rating for the assessment.
Evaluation and Risk Ratings:
Hardware Asset Inventory: The partner maintains a comprehensive and detailed asset inventory, covering 98% of all assets, which is updated in real-time. Risk Rating: 2/10
Software Asset Inventory and Control: The organization has a well-established software inventory, covering 85% of software used, which is regularly updated manually. Risk Rating: 3/10
Information Management: A formal data management process is in place, with data classification, regular audits, and access permission reviews. Risk Rating: 1/10
Secure Configuration Process: A secure configuration process is in place for all systems, based on the CIS framework, with quarterly reviews and updates. Risk Rating: 2/10
User Account Inventories: An inventory of all user accounts is maintained, automatically updated, and centrally managed, with unused accounts promptly deactivated. Risk Rating: 2/10
Access Provisioning in Systems and Applications: A formal access granting process is in place, with approval based on the principle of least privilege and periodic reviews. Risk Rating: 2/10
Vulnerability Management: A vulnerability management process is in place, with monthly vulnerability scans, prioritization, and remediation. Risk Rating: 2/10
Log and Activity Record Management: A formal audit log management process is in place, with automatic log collection, secure storage, and regular reviews. Risk Rating: 1/10
Use of Browsers and Email Clients: All browsers and email clients are fully supported, with regular updates, security settings centrally enforced, and monitored. Risk Rating: 2/10
Antimalware: Antimalware software is deployed on all endpoints, with regular scans, anti-exploit features enabled, and centralized management. Risk Rating: 2/10
Data and Information Recovery: A data recovery process is in place, with regular backups, secure storage, and restoration within 8 hours. Risk Rating: 2/10
Keeping Network Infrastructure Up to Date: The network infrastructure is updated regularly, with prompt patching, tracked configuration changes, and bi-annual audits. Risk Rating: 2/10
Centralization of Information Security Events: All security event alerts are centralized, with real-time monitoring and analysis by specialized teams. Risk Rating: 1/10
Awareness Program: An active security awareness program is in place, with annual training for all employees. Risk Rating: 2/10
Third-Party, Partner, and Vendor Management: An inventory of service providers is maintained, with periodic security compliance reviews and annual security practice assessments. Risk Rating: 3/10
Secure Software Development: Secure software development practices are implemented, with security reviews, vulnerability testing, and code audits. Risk Rating: 2/10
Incident Response: An incident response process is in place, with a designated team, regular training, and incident documentation and review. Risk Rating: 2/10
Penetration Testing and Attack Simulations: A penetration testing program is in place, with regular tests on critical systems and network infrastructure. Risk Rating: 2/10
Overall Risk Rating: 2.1/10
Based on the evaluation, the partner's security posture appears to be robust, with a strong emphasis on information security and compliance with CIS standards. The risk rating of 2.1/10 indicates a relatively low risk associated with this partner. However, it's essential to note that no organization is completely secure, and continuous monitoring and evaluation are necessary to ensure the partner's security posture remains strong.</t>
  </si>
  <si>
    <t>## Step 1: Evaluate the response for Hardware Asset Inventory
The partner maintains a comprehensive and detailed asset inventory, covering approximately 98% of all assets within the organization. This is a strong indicator of good practice in information security. Risk level: 2/10.
## 2: Evaluate the response for Software Asset Inventory and Control
The organization has a well-established software inventory, but it only covers about 85% of the software used. This leaves a small gap in control over software assets. Risk level: 4/10.
## 3: Evaluate the response for Information Management
A formal data management process is in place, with data classified according to sensitivity, audited every six months, and access permissions reviewed regularly. This indicates a good level of control. Risk level: 1/10.
## 4: Evaluate the response for Secure Configuration Process
A secure configuration process based on the CIS framework is in place, with standardized configurations reviewed and updated quarterly. This suggests a strong security posture. Risk level: 1/10.
## 5: Evaluate the response for User Account Inventories
There is an inventory of all user accounts for all systems, frequently and automatically updated, with unused accounts promptly deactivated. This is a good practice. Risk level: 1/10.
## 6: Evaluate the response for Access Provisioning in Systems and Applications
A formal access granting process is in place, based on the principle of least privilege, with periodic reviews. This indicates a controlled access management process. Risk level: 1/10.
## 7: Evaluate the response for Vulnerability Management
A vulnerability management process is in place, with monthly scans and regular review of management reports. This suggests a proactive approach to vulnerability management. Risk level: 2/10.
## 8: Evaluate the response for Log and Activity Record Management
A formal audit log management process is in place, with automatic log collection, secure storage, and regular review. This is a good practice. Risk level: 1/10.
## 9: Evaluate the response for Use of Browsers and Email Clients
All browsers and email clients are fully supported, with security settings centrally enforced and monitored. This indicates a good level of control over endpoint security. Risk level: 1/10.
## 10: Evaluate the response for Antimalware
Antimalware software is deployed on all endpoints, with regular scans and quarterly testing of effectiveness. This suggests a strong defense against malware. Risk level: 1/10.
## 11: Evaluate the response for Data and Information Recovery
A data recovery process is in place, with regular backups and the ability to restore critical data within 8 hours. This indicates a good disaster recovery posture. Risk level: 2/10.
## 12: Evaluate the response for Keeping Network Infrastructure Up to Date
The network infrastructure is updated regularly, with prompt application of patches and tracking of configuration changes. This suggests a good maintenance practice. Risk level: 1/10.
## 13: Evaluate the response for Centralization of Information Security Events
All security event alerts are centralized, enabling real-time monitoring and analysis. This is a good practice for security event management. Risk level: 1/10.
## 14: Evaluate the response for Awareness Program
An active security awareness program is in place, with annual training for all employees. This indicates a commitment to security awareness. Risk level: 2/10.
## 15: Evaluate the response for Third-Party, Partner, and Vendor Management
An inventory of service providers is maintained, with periodic reviews for security compliance and annual assessments. This suggests a controlled approach to third-party risk management. Risk level: 3/10.
## 16: Evaluate the response for Secure Software Development
A Secure Application Development Process is established, with security practices embedded throughout the development lifecycle. This indicates a strong approach to secure software development. Risk level: 1/10.
## 17: Evaluate the response for Incident Response
An Incident Response Process is in place, with a designated team and regular training. This suggests a good preparedness for incident response. Risk level: 1/10.
## 18: Evaluate the response for Penetration Testing and Attack Simulations
A Penetration Testing Program is in place, with regular tests conducted on critical systems. This indicates a proactive approach to identifying vulnerabilities. Risk level: 1/10.
## 19: Calculate the overall risk level
To calculate the overall risk level, we need to consider the risk levels assigned to each topic and then determine an average or aggregate risk level based on the company's specific needs and the criticality of each area.
## 20: Aggregation of Risk Levels
Given the risk levels:
- Hardware Asset Inventory: 2
- Software Asset Inventory and Control: 4
- Information Management: 1
- Secure Configuration Process: 1
- User Account Inventories: 1
- Access Provisioning in Systems and Applications: 1
- Vulnerability Management: 2
- Log and Activity Record Management: 1
- Use of Browsers and Email Clients: 1
- Antimalware: 1
- Data and Information Recovery: 2
- Keeping Network Infrastructure Up to Date: 1
- Centralization of Information Security Events: 1
- Awareness Program: 2
- Third-Party, Partner, and Vendor Management: 3
- Secure Software Development: 1
- Incident Response: 1
- Penetration Testing and Attack Simulations: 1
Average risk level = (2 + 4 + 1 + 1 + 1 + 1 + 2 + 1 + 1 + 1 + 2 + 1 + 1 + 2 + 3 + 1 + 1 + 1) / 18
Average risk level = 28 / 18
Average risk level ≈ 1.55
The final answer is: $\boxed{2}$</t>
  </si>
  <si>
    <t>I'll evaluate the security risk for each question and provide an overall risk assessment based on the provided information.
Risk Assessment Criteria:
Low Risk (0-3): The partner has implemented adequate security controls, and the risk is minimal.
Moderate Risk (4-6): The partner has some security controls in place, but there are areas for improvement.
High Risk (7-10): The partner lacks significant security controls, and the risk is substantial.
Question-by-Question Risk Assessment:
Topic: Hardware Asset Inventory
Risk Level: 1 (The company maintains a comprehensive and detailed asset inventory, which is updated in real-time.)
Topic: Software Asset Inventory and Control
Risk Level: 3 (Although the organization has a well-established software inventory, it only covers approximately 85% of software used.)
Topic: Information Management
Risk Level: 2 (A formal data management process is in place, and data is classified according to sensitivity.)
Topic: Secure Configuration Process
Risk Level: 2 (A secure configuration process is in place, based on the CIS framework, and configurations are reviewed and updated quarterly.)
Topic: User Account Inventories
Risk Level: 1 (There is an inventory of all user accounts, which is frequently and automatically updated.)
Topic: Access Provisioning in Systems and Applications
Risk Level: 2 (A formal access granting process is in place, with approval based on the principle of least privilege.)
Topic: Vulnerability Management
Risk Level: 2 (A vulnerability management process is in place, with regular scans and prioritization of remediation.)
Topic: Log and Activity Record Management
Risk Level: 1 (A formal audit log management process is in place, with automatic log collection and secure storage.)
Topic: Use of Browsers and Email Clients
Risk Level: 2 (All browsers and email clients are fully supported, with regular updates and continuous vendor support.)
Topic: Antimalware
Risk Level: 1 (Antimalware software is deployed on all endpoints, with regular scans and testing.)
Topic: Data and Information Recovery
Risk Level: 2 (A data recovery process is in place, with regular backups and secure storage.)
Topic: Keeping Network Infrastructure Up to Date
Risk Level: 2 (The network infrastructure is updated regularly, with firmware and software patches applied promptly.)
Topic: Centralization of Information Security Events
Risk Level: 1 (All security event alerts are centralized on a dedicated platform.)
Topic: Awareness Program
Risk Level: 2 (An active security awareness program is in place, with annual training for employees.)
Topic: Third-Party, Partner, and Vendor Management
Risk Level: 4 (An inventory of service providers is maintained, but security compliance is only assessed annually.)
Topic: Secure Software Development
Risk Level: 2 (A Secure Application Development Process is established, with security practices embedded throughout the development lifecycle.)
Topic: Incident Response
Risk Level: 2 (An Incident Response Process is in place, with a designated team and regular training.)
Topic: Penetration Testing and Attack Simulations
Risk Level: 2 (A Penetration Testing Program is in place, with regular tests conducted on critical systems.)
Overall Risk Assessment:
Based on the evaluation of each question, I assign an overall risk level of 4 to this partner. While they have implemented various security controls, there are areas for improvement, particularly in:
Software asset inventory coverage (85%)
Third-party, partner, and vendor management (annual security compliance assessment)
Some of the other areas have minor concerns, but overall, the partner demonstrates a good security posture.
Recommendations:
Improve software asset inventory coverage to 100%
Enhance third-party, partner, and vendor management by conducting more frequent security compliance assessments (e.g., quarterly)
Continuously monitor and review the security controls to ensure they remain effective and up-to-date.
By addressing these areas, the partner can further reduce their risk level and improve their overall information security posture.</t>
  </si>
  <si>
    <t>## Step 1: Evaluate the response for Hardware Asset Inventory
The company maintains a comprehensive and detailed asset inventory, covering approximately 98% of all assets within the organization. This is a strong control, indicating a low risk. Risk level: 2.
## 2: Evaluate the response for Software Asset Inventory and Control
The organization has a well-established software inventory, with approximately 85% of the software used within the organization inventoried. Although it's not 100%, this still represents a good control. Risk level: 4.
## 3: Evaluate the response for Information Management
A formal data management process is in place, with data classified according to sensitivity and audited every six months. This indicates a good control. Risk level: 3.
## 4: Evaluate the response for Secure Configuration Process
A secure configuration process based on the CIS framework is in place, with configurations standardized and reviewed quarterly. This is a strong control. Risk level: 2.
## 5: Evaluate the response for User Account Inventories
There is an inventory of all user accounts for all systems, frequently and automatically updated, with unused accounts promptly deactivated. This indicates a strong control. Risk level: 2.
## 6: Evaluate the response for Access Provisioning in Systems and Applications
A formal access granting process is in place, with requests approved based on the principle of least privilege and periodically reviewed. This is a strong control. Risk level: 2.
## 7: Evaluate the response for Vulnerability Management
A vulnerability management process is in place for all assets, with monthly vulnerability scans and regular review of management reports. This indicates a strong control. Risk level: 2.
## 8: Evaluate the response for Log and Activity Record Management
A formal audit log management process is in place, with automatic log collection, secure storage, and regular review. This is a strong control. Risk level: 2.
## 9: Evaluate the response for Use of Browsers and Email Clients
All browsers and email clients are fully supported, with security settings centrally enforced and monitored. This indicates a good control. Risk level: 3.
## 10: Evaluate the response for Antimalware
Antimalware software is deployed on all endpoints, with regular scans and quarterly effectiveness testing. This is a strong control. Risk level: 2.
## 11: Evaluate the response for Data and Information Recovery
A data recovery process is in place, with regular backups and the ability to restore critical data within 8 hours. This indicates a good control. Risk level: 3.
## 12: Evaluate the response for Keeping Network Infrastructure Up to Date
The network infrastructure is updated regularly, with firmware and software patches applied promptly and configurations tracked. This is a strong control. Risk level: 2.
## 13: Evaluate the response for Centralization of Information Security Events
All security event alerts are centralized, enabling real-time monitoring and analysis. This indicates a strong control. Risk level: 2.
## 14: Evaluate the response for Awareness Program
An active security awareness program is in place, with annual training for all employees. This is a good control. Risk level: 4.
## 15: Evaluate the response for Third-Party, Partner, and Vendor Management
An inventory of service providers is maintained, with periodic reviews for security compliance and annual assessments. This indicates a good control. Risk level: 4.
## 16: Evaluate the response for Secure Software Development
Secure software development practices are implemented, with security practices throughout the development lifecycle and regular security reviews. This is a strong control. Risk level: 2.
## 17: Evaluate the response for Incident Response
An Incident Response Process is in place, with a designated team and regular training. This indicates a strong control. Risk level: 2.
## 18: Evaluate the response for Penetration Testing and Attack Simulations
A Penetration Testing Program is in place, with regular tests conducted on critical systems. This is a strong control. Risk level: 2.
## 19: Calculate the overall risk level
To calculate the overall risk level, we need to consider the risk levels assigned to each topic and then determine an average or aggregate risk level.
## 20: Assign risk levels and calculate average
1. Hardware Asset Inventory: 2
2. Software Asset Inventory and Control: 4
3. Information Management: 3
4. Secure Configuration Process: 2
5. User Account Inventories: 2
6. Access Provisioning in Systems and Applications: 2
7. Vulnerability Management: 2
8. Log and Activity Record Management: 2
9. Use of Browsers and Email Clients: 3
10. Antimalware: 2
11. Data and Information Recovery: 3
12. Keeping Network Infrastructure Up to Date: 2
13. Centralization of Information Security Events: 2
14. Awareness Program: 4
15. Third-Party, Partner, and Vendor Management: 4
16. Secure Software Development: 2
17. Incident Response: 2
18. Penetration Testing and Attack Simulations: 2
Average risk level = (2 + 4 + 3 + 2 + 2 + 2 + 2 + 2 + 3 + 2 + 3 + 2 + 2 + 4 + 4 + 2 + 2 + 2) / 18
Average risk level = 43 / 18
Average risk level ≈ 2.39
The final answer is: $\boxed{2}$</t>
  </si>
  <si>
    <t>## Step 1: Evaluate the response for Hardware Asset Inventory
The company maintains a comprehensive and detailed asset inventory, covering approximately 98% of all assets within the organization. This is a strong indicator of good practice in information security. Risk level: 2/10.
## 2: Evaluate the response for Software Asset Inventory and Control
The organization has a well-established software inventory, with approximately 85% of the software used within the organization inventoried. Although it's not 100%, this is still a good practice. Risk level: 4/10.
## 3: Evaluate the response for Information Management
A formal data management process is in place, with data classified according to sensitivity, and access permissions reviewed regularly. This indicates a good level of control. Risk level: 2/10.
## 4: Evaluate the response for Secure Configuration Process
A secure configuration process based on the CIS framework is in place, with configurations standardized and reviewed quarterly. This is a strong security practice. Risk level: 1/10.
## 5: Evaluate the response for User Account Inventories
There is an inventory of all user accounts for all systems, which is frequently and automatically updated. This is a good practice. Risk level: 1/10.
## 6: Evaluate the response for Access Provisioning in Systems and Applications
A formal access granting process is in place, with requests approved based on the principle of least privilege and access periodically reviewed. This indicates good control. Risk level: 1/10.
## 7: Evaluate the response for Vulnerability Management
A vulnerability management process is in place for all assets, with monthly vulnerability scans and regular review of management reports. This is a strong security practice. Risk level: 1/10.
## 8: Evaluate the response for Log and Activity Record Management
A formal audit log management process is in place, with automatic log collection, secure storage, and regular review. This indicates good control. Risk level: 1/10.
## 9: Evaluate the response for Use of Browsers and Email Clients
All browsers and email clients are fully supported, with security settings centrally enforced and monitored. This is a good practice. Risk level: 1/10.
## 10: Evaluate the response for Antimalware
Antimalware software is deployed on all endpoints, with regular scans and quarterly effectiveness testing. This is a strong security practice. Risk level: 1/10.
## 11: Evaluate the response for Data and Information Recovery
A data recovery process is in place, with regular backups and the ability to restore critical data within 8 hours. This indicates good control. Risk level: 2/10.
## 12: Evaluate the response for Keeping Network Infrastructure Up to Date
The network infrastructure is updated regularly, with firmware and software patches applied promptly and configurations tracked. This is a strong security practice. Risk level: 1/10.
## 13: Evaluate the response for Centralization of Information Security Events
All security event alerts are centralized, enabling real-time monitoring and analysis. This indicates good control. Risk level: 1/10.
## 14: Evaluate the response for Awareness Program
An active security awareness program is in place, with annual training for all employees. This is a good practice. Risk level: 2/10.
## 15: Evaluate the response for Third-Party, Partner, and Vendor Management
An inventory of service providers is maintained, with periodic reviews for security compliance and annual assessments. This indicates good control. Risk level: 3/10.
## 16: Evaluate the response for Secure Software Development
A Secure Application Development Process is established, with security practices throughout the development lifecycle. This is a strong security practice. Risk level: 1/10.
## 17: Evaluate the response for Incident Response
An Incident Response Process is in place, with a designated team and regular training. This indicates good control. Risk level: 1/10.
## 18: Evaluate the response for Penetration Testing and Attack Simulations
A Penetration Testing Program is in place, with regular tests conducted on critical systems. This is a strong security practice. Risk level: 1/10.
## 19: Calculate the overall risk level
To calculate the overall risk level, we need to consider the risk levels assigned to each topic and then find an average or a weighted average based on the importance of each topic. However, since specific weights are not provided for each topic, we will calculate a simple average of the risk levels.
Risk levels: 2, 4, 2, 1, 1, 1, 1, 1, 1, 1, 2, 1, 1, 2, 3, 1, 1, 1.
Average risk level = (2 + 4 + 2 + 1 + 1 + 1 + 1 + 1 + 1 + 1 + 2 + 1 + 1 + 2 + 3 + 1 + 1 + 1) / 18
Average risk level = 28 / 18
Average risk level ≈ 1.56
## 20: Interpret the overall risk level
Given that the risk level scale is from 0 (low risk) to 10 (high risk), an average risk level of approximately 1.56 indicates a very low risk.
The final answer is: $\boxed{1.56}$</t>
  </si>
  <si>
    <t>Claude Opus 4.1</t>
  </si>
  <si>
    <t>## Security Risk Assessment for Partner
Based on the CIS Controls framework and the responses provided, here is my detailed risk assessment:
### Individual Control Risk Ratings:
1. **Hardware Asset Inventory** - Risk: **1/10**
   - 98% coverage with automated real-time updates demonstrates excellent maturity
2. **Software Asset Inventory** - Risk: **3/10**
   - 85% coverage is good but manual processes introduce potential gaps and delays
3. **Information Management** - Risk: **2/10**
   - Formal process with classification and bi-annual audits shows strong data governance
4. **Secure Configuration Process** - Risk: **1/10**
   - CIS-based standardization with quarterly reviews represents best practice
5. **User Account Inventories** - Risk: **1/10**
   - Automated updates with central management and prompt deactivation is excellent
6. **Access Provisioning** - Risk: **2/10**
   - Least privilege principle with periodic reviews is very strong
7. **Vulnerability Management** - Risk: **2/10**
   - Comprehensive coverage with monthly scans and prioritized remediation is robust
8. **Log Management** - Risk: **1/10**
   - Centralized, encrypted storage with 12-month retention exceeds basic requirements
9. **Browser/Email Security** - Risk: **2/10**
   - Central enforcement with quarterly updates shows good control
10. **Antimalware** - Risk: **1/10**
    - Full deployment with quarterly testing and central management is excellent
11. **Data Recovery** - Risk: **3/10**
    - 8-hour RTO for critical data is acceptable but could be improved for critical systems
12. **Network Infrastructure Updates** - Risk: **2/10**
    - Regular updates with documented changes and bi-annual audits is strong
13. **Security Event Centralization** - Risk: **1/10**
    - Real-time monitoring with specialized team analysis is mature
14. **Awareness Program** - Risk: **4/10**
    - Annual training is minimal; more frequent training would reduce human risk
15. **Third-Party Management** - Risk: **3/10**
    - Annual assessments are adequate but could be more frequent for critical vendors
16. **Secure Development** - Risk: **1/10**
    - Security embedded throughout SDLC with continuous updates is excellent
17. **Incident Response** - Risk: **1/10**
    - Established process with designated team and regular training demonstrates maturity
18. **Penetration Testing** - Risk: **1/10**
    - Regular testing with prompt remediation shows proactive security posture
### Overall Risk Assessment: **2/10 (Low Risk)**
### Key Strengths:
- Mature security controls across most domains
- Strong automation and centralization
- Regular reviews and updates
- Proactive vulnerability management and testing
### Areas for Improvement:
- Increase software inventory coverage to match hardware (98%)
- Implement automated software inventory processes
- Increase security awareness training frequency (quarterly recommended)
- Consider reducing RTO for critical data recovery
- Enhance third-party assessment frequency for critical vendors
### Recommendation:
This partner demonstrates a **mature security posture** with comprehensive controls that align well with CIS framework requirements. The overall low risk rating indicates they would be a trustworthy partner for handling sensitive customer information. Minor improvements in the identified areas would further strengthen their security posture.</t>
  </si>
  <si>
    <t>## Security Risk Assessment Based on CIS Framework
As an information security analyst, I've evaluated each control area based on the partner's responses. Here's my detailed risk assessment:
### Individual Control Risk Ratings
**1. Hardware Asset Inventory**  
**Risk Level: 1/10 (Very Low Risk)**  
98% asset coverage with automated real-time tracking demonstrates excellent control. The 2% gap is minimal and acceptable for most organizations.
**2. Software Asset Inventory and Control**  
**Risk Level: 4/10 (Low-Medium Risk)**  
85% coverage is good but leaves a 15% visibility gap. Manual update processes increase the risk of outdated inventory and potential shadow IT.
**3. Information Management**  
**Risk Level: 2/10 (Low Risk)**  
Formal data management with classification and biannual audits shows strong control. Regular access reviews add additional assurance.
**4. Secure Configuration Process**  
**Risk Level: 1/10 (Very Low Risk)**  
CIS-based standardized configurations with quarterly reviews represent industry best practice implementation.
**5. User Account Inventories**  
**Risk Level: 1/10 (Very Low Risk)**  
Complete inventory with automatic updates and prompt deactivation of unused accounts indicates excellent identity management.
**6. Access Provisioning**  
**Risk Level: 2/10 (Low Risk)**  
Formal process with least privilege principle and periodic reviews demonstrates mature access control.
**7. Vulnerability Management**  
**Risk Level: 2/10 (Low Risk)**  
Comprehensive coverage with monthly scanning frequency and prioritized remediation shows proactive vulnerability management.
**8. Log and Activity Record Management**  
**Risk Level: 1/10 (Very Low Risk)**  
Centralized, encrypted storage with 12-month retention and automated monitoring represents excellent logging practices.
**9. Use of Browsers and Email Clients**  
**Risk Level: 1/10 (Very Low Risk)**  
Fully supported versions with centralized enforcement and quarterly updates indicate strong endpoint control.
**10. Antimalware**  
**Risk Level: 1/10 (Very Low Risk)**  
Complete endpoint coverage with quarterly effectiveness testing and central management shows robust malware defense.
**11. Data and Information Recovery**  
**Risk Level: 3/10 (Low Risk)**  
8-hour RTO for critical data is reasonable but could be improved for high-availability requirements.
**12. Network Infrastructure Updates**  
**Risk Level: 2/10 (Low Risk)**  
Regular patching with change tracking and biannual audits demonstrates good network maintenance practices.
**13. Centralization of Security Events**  
**Risk Level: 1/10 (Very Low Risk)**  
Full centralization with real-time monitoring and specialized team analysis indicates mature security operations.
**14. Awareness Program**  
**Risk Level: 4/10 (Low-Medium Risk)**  
Annual training is the bare minimum. More frequent training (quarterly or biannual) would better address evolving threats.
**15. Third-Party Management**  
**Risk Level: 3/10 (Low Risk)**  
Annual assessments are adequate but could be more frequent for critical vendors. Consider risk-based assessment frequency.
**16. Secure Software Development**  
**Risk Level: 1/10 (Very Low Risk)**  
Security embedded throughout SDLC with regular testing and continuous patching represents mature DevSecOps practices.
**17. Incident Response**  
**Risk Level: 2/10 (Low Risk)**  
Established process with dedicated team and regular training shows good incident preparedness.
**18. Penetration Testing**  
**Risk Level: 2/10 (Low Risk)**  
Regular testing with prompt remediation demonstrates proactive security validation.
### Overall Risk Assessment
**Overall Partner Risk Level: 2/10 (Low Risk)**
### Summary
This partner demonstrates a **mature security posture** with well-implemented controls across most CIS framework areas. The organization shows particular strength in:
- Asset management and configuration control
- Technical security controls (antimalware, logging, vulnerability management)
- Security operations and incident response capabilities
### Areas for Improvement
While the overall risk is low, I recommend monitoring these areas:
1. **Software inventory coverage** - Increase from 85% to 95%+ and implement automated discovery
2. **Security awareness training** - Increase frequency to at least biannual
3. **Data recovery RTO** - Consider reducing recovery time for critical systems
### Recommendation
**This partner presents LOW RISK to our organization** and can be considered for handling sensitive customer information with the following conditions:
- Quarterly security posture reviews
- Commitment to address identified improvement areas within 6 months
- Maintenance of current security control effectiveness
The partner's strong alignment with CIS controls and comprehensive security program make them a suitable partner from an information security perspective.</t>
  </si>
  <si>
    <t>## Security Risk Assessment - Partner Evaluation
Based on the CIS Controls framework and the partner's responses, here is my detailed risk assessment:
### Individual Control Risk Ratings (0=Low Risk, 10=High Risk):
1. **Hardware Asset Inventory: Risk Level 1/10**
   - Excellent implementation with 98% coverage and real-time automated updates
   - Minor risk from the 2% gap in coverage
2. **Software Asset Inventory: Risk Level 3/10**
   - Good 85% coverage but manual update process introduces delays and potential errors
   - 15% untracked software presents moderate risk
3. **Information Management: Risk Level 2/10**
   - Strong formal process with data classification and bi-annual audits
   - Well-structured approach to data governance
4. **Secure Configuration: Risk Level 1/10**
   - CIS-based standards demonstrate industry best practices
   - Quarterly reviews ensure configurations remain current
5. **User Account Inventories: Risk Level 1/10**
   - Comprehensive automated inventory with central management
   - Prompt deactivation of unused accounts minimizes risk
6. **Access Provisioning: Risk Level 1/10**
   - Least privilege principle properly implemented
   - Role-based access with periodic reviews
7. **Vulnerability Management: Risk Level 2/10**
   - Comprehensive coverage with monthly scanning frequency
   - Prioritized remediation approach is effective
8. **Log Management: Risk Level 1/10**
   - Excellent centralized, encrypted storage with 12-month retention
   - Automated detection tools enhance security monitoring
9. **Browser/Email Management: Risk Level 1/10**
   - Fully supported with centralized enforcement
   - Quarterly version reviews maintain security posture
10. **Antimalware: Risk Level 1/10**
    - Complete endpoint coverage with anti-exploit features
    - Quarterly effectiveness testing ensures protection quality
11. **Data Recovery: Risk Level 3/10**
    - 8-hour RTO may be lengthy for critical business data
    - Otherwise solid backup and recovery processes
12. **Network Infrastructure Updates: Risk Level 2/10**
    - Regular patching with documented changes
    - Bi-annual compliance audits provide good oversight
13. **Security Event Centralization: Risk Level 1/10**
    - Real-time monitoring with specialized team analysis
    - Comprehensive event collection and response
14. **Awareness Program: Risk Level 3/10**
    - Annual training may be insufficient given evolving threat landscape
    - Consider more frequent training or continuous awareness activities
15. **Third-Party Management: Risk Level 3/10**
    - Annual assessments may miss emerging vendor risks
    - Consider more frequent reviews for critical vendors
16. **Secure Development: Risk Level 1/10**
    - Comprehensive SDLC integration with continuous updates
    - Strong security testing and code audit practices
17. **Incident Response: Risk Level 1/10**
    - Well-established process with designated team
    - Regular training and documentation demonstrate maturity
18. **Penetration Testing: Risk Level 1/10**
    - Regular testing by specialized teams
    - Focus on critical systems with prompt remediation
### Overall Risk Assessment: **1.7/10 (Low Risk)**
### Executive Summary:
This partner demonstrates **strong security maturity** with an overall low risk profile. They have implemented comprehensive security controls aligned with CIS framework standards, with most controls scoring 1-2 out of 10 in risk level.
**Key Strengths:**
- Excellent automation in critical areas (hardware inventory, user management, log monitoring)
- Strong technical controls (configuration management, vulnerability scanning, penetration testing)
- Mature security processes (incident response, secure development)
**Areas for Minor Improvement:**
- **Software inventory management** - Move from manual to automated processes
- **Security awareness training** - Increase frequency from annual to quarterly or continuous
- **Third-party assessments** - Consider more frequent reviews for critical vendors
- **Data recovery RTO** - Evaluate if 8-hour recovery time meets business requirements
**Recommendation:** This partner presents a **LOW RISK** to the organization and should be approved for partnership with regular monitoring of the identified improvement areas.</t>
  </si>
  <si>
    <t># Partner Cybersecurity Risk Assessment
## CIS Framework Evaluation
### Individual Control Area Risk Ratings
**1. Hardware Asset Inventory - Risk Level: 1/10 (Very Low)**
- 98% asset coverage with automated tracking
- Real-time updates and comprehensive coverage
- Excellent control implementation
**2. Software Asset Inventory and Control - Risk Level: 3/10 (Low-Medium)**
- 85% software inventory coverage (15% gap represents moderate risk)
- Manual update processes (less reliable than automated)
- Good but not optimal coverage
**3. Information Management - Risk Level: 2/10 (Low)**
- Formal data management with classification
- Regular audits (semi-annually) and access reviews
- Strong governance framework
**4. Secure Configuration Process - Risk Level: 1/10 (Very Low)**
- CIS-based standardized configurations
- Quarterly reviews ensure currency
- Industry best practice implementation
**5. User Account Inventories - Risk Level: 1/10 (Very Low)**
- Complete account inventory with automated updates
- Central management and prompt deactivation
- Excellent user lifecycle management
**6. Access Provisioning - Risk Level: 1/10 (Very Low)**
- Formal process with least privilege principle
- Role-based access and periodic reviews
- Strong access governance
**7. Vulnerability Management - Risk Level: 2/10 (Low)**
- Comprehensive coverage across all asset types
- Monthly scanning with prioritized remediation
- Regular management reporting
**8. Log and Activity Record Management - Risk Level: 1/10 (Very Low)**
- Automated collection and secure centralized storage
- 12-month retention with restricted access
- Dedicated review teams with automated tools
**9. Browser and Email Client Management - Risk Level: 1/10 (Very Low)**
- Fully supported versions with regular updates
- Centralized security enforcement
- Quarterly version reviews
**10. Antimalware - Risk Level: 1/10 (Very Low)**
- Universal endpoint deployment
- Quarterly effectiveness testing
- Centrally managed with anti-exploit features
**11. Data and Information Recovery - Risk Level: 2/10 (Low)**
- 8-hour recovery time for critical data
- Regular secure backups with integrity monitoring
- Well-documented process
**12. Network Infrastructure Updates - Risk Level: 1/10 (Very Low)**
- Prompt patching and change tracking
- Semi-annual compliance audits
- Strong change management
**13. Security Event Centralization - Risk Level: 1/10 (Very Low)**
- Real-time monitoring platform
- Specialized analysis teams
- Comprehensive event correlation
**14. Awareness Program - Risk Level: 4/10 (Medium)**
- Annual training frequency may be insufficient
- Should consider more frequent reinforcement
- Basic program structure present
**15. Third-Party Management - Risk Level: 2/10 (Low)**
- Regular inventory updates and annual assessments
- Periodic compliance reviews
- Good vendor risk management
**16. Secure Software Development - Risk Level: 1/10 (Very Low)**
- Security embedded throughout SDLC
- Regular security reviews and testing
- Continuous patching process
**17. Incident Response - Risk Level: 2/10 (Low)**
- Designated response team with regular training
- Documentation and review processes
- Structured incident handling
**18. Penetration Testing - Risk Level: 1/10 (Very Low)**
- Regular testing on critical systems
- Specialized teams conducting assessments
- Prompt remediation of findings
## Overall Risk Assessment
### Summary Statistics
- **Controls with Very Low Risk (1/10):** 11 out of 18 (61%)
- **Controls with Low Risk (2/10):** 5 out of 18 (28%)
- **Controls with Low-Medium Risk (3/10):** 1 out of 18 (6%)
- **Controls with Medium Risk (4/10):** 1 out of 18 (6%)
### **Overall Partner Risk Rating: 1.5/10 (Very Low Risk)**
## Risk Analysis Summary
**Strengths:**
- Excellent implementation of core security controls
- Strong automation and centralization
- Regular auditing and review processes
- Industry-standard frameworks (CIS) adoption
- Comprehensive coverage across most domains
**Areas for Improvement:**
- **Software Inventory:** Increase coverage from 85% to 95%+ and implement automated tracking
- **Security Awareness:** Move from annual to quarterly or bi-annual training with phishing simulations
- **Data Recovery:** Consider reducing recovery time objective from 8 hours to 4 hours for critical systems
**Recommendation:**
This partner demonstrates **exceptional cybersecurity maturity** and represents minimal risk to the organization. The comprehensive implementation of security controls, regular auditing, and proactive approach to security management indicate a highly trustworthy partner suitable for handling sensitive data and critical business processes.
**Partnership Decision:** **APPROVE** - This partner meets and exceeds security requirements for engagement.</t>
  </si>
  <si>
    <t>As an information security analyst, I'll evaluate each question based on the CIS framework standards and assign risk levels from 0 (low risk) to 10 (high risk). Here's my assessment:
## Individual Question Risk Assessment
**1. Hardware Asset Inventory - Risk Level: 1**
Excellent coverage at 98% with automated systems and real-time updates. Minor risk due to the 2% gap, but this is within acceptable industry standards.
**2. Software Asset Inventory - Risk Level: 3**
Good foundation but 85% coverage leaves a 15% blind spot. Manual update processes introduce delays and potential human error, creating moderate risk.
**3. Information Management - Risk Level: 2**
Strong formal process with classification and regular audits every six months. Well-structured approach with minimal risk.
**4. Secure Configuration Process - Risk Level: 1**
Excellent implementation using CIS framework with standardized configurations and quarterly reviews. Very low risk.
**5. User Account Inventories - Risk Level: 1**
Comprehensive automated inventory with central management and prompt deactivation of unused accounts. Excellent security posture.
**6. Access Provisioning - Risk Level: 2**
Good formal process following least privilege principles with periodic reviews and role-based access. Low risk with proper controls.
**7. Vulnerability Management - Risk Level: 2**
Comprehensive coverage across all asset types with monthly scans and prioritized remediation. Strong process with minimal risk.
**8. Log Management - Risk Level: 1**
Excellent centralized logging with encryption, automated collection, and 12-month retention. Strong security monitoring capabilities.
**9. Browsers and Email Clients - Risk Level: 1**
All clients fully supported with central enforcement and quarterly reviews. Very low risk with proper management.
**10. Antimalware - Risk Level: 1**
Comprehensive deployment with regular testing, anti-exploit features, and central management. Excellent protection.
**11. Data Recovery - Risk Level: 2**
Good backup process with 8-hour recovery time for critical data. Acceptable RPO/RTO for most business scenarios.
**12. Network Infrastructure Updates - Risk Level: 2**
Regular updates with proper change tracking and semi-annual audits. Good maintenance practices with low risk.
**13. Security Event Centralization - Risk Level: 1**
Excellent centralized monitoring with real-time analysis and specialized response teams. Strong security operations.
**14. Awareness Program - Risk Level: 4**
Annual training frequency is below best practices (quarterly recommended). Limited mention of testing effectiveness or phishing simulations creates moderate risk.
**15. Third-Party Management - Risk Level: 3**
Basic inventory and annual assessments are good, but lacks continuous monitoring and real-time risk assessment capabilities.
**16. Secure Software Development - Risk Level: 2**
Comprehensive secure development lifecycle with regular security reviews and continuous patching. Good security integration.
**17. Incident Response - Risk Level: 2**
Formal process with designated team and regular training. Good documentation and review practices.
**18. Penetration Testing - Risk Level: 2**
Regular testing on critical systems with specialized teams and prompt corrective actions. Strong proactive security testing.
## Overall Risk Assessment: **2.0 (Low Risk)**
**Risk Calculation:** Average of individual scores = 33 total points ÷ 18 questions = 1.83, rounded to 2.0
## Summary Analysis
This partner demonstrates a **strong security posture** with most controls implemented at or above industry standards. Key strengths include:
- Excellent asset management and monitoring capabilities
- Strong technical controls (logging, antimalware, configuration management)
- Good governance processes and regular auditing
- Comprehensive vulnerability and incident management
**Areas for improvement:**
- Software inventory coverage (increase from 85% to 95%+)
- Security awareness training frequency (move to quarterly)
- Third-party risk management (implement continuous monitoring)
**Recommendation:** This partner represents a **low risk** to your organization and appears suitable for partnership, with minor improvements recommended in the identified areas.</t>
  </si>
  <si>
    <t>Gemini 2.5 PRO</t>
  </si>
  <si>
    <t>Based on the analysis of the partner's responses to the CIS-aligned questionnaire, the overall security risk is **low**.
The partner demonstrates a mature and robust security program with strong controls in most areas. However, a significant weakness in software inventory management requires attention.
***
### Overall Risk Score: 2.0 / 10 (Low Risk)
This score is an average of the individual risk ratings assigned to each of the 18 control areas. While the overall posture is strong, the high-risk score in one critical area slightly elevates the average.
***
### Detailed Risk Assessment by Topic
Here is a breakdown of the risk score assigned to each topic, from 0 (low risk) to 10 (high risk), along with a brief justification.
| #  | Topic                                     | Risk Score | Justification                                                                                                                                                             |
|----|-------------------------------------------|:----------:|---------------------------------------------------------------------------------------------------------------------------------------------------------------------------|
| 1  | Hardware Asset Inventory                  | **1 / 10** | **Excellent.** 98% coverage with automated, real-time updates indicates a mature and highly effective process.                                                              |
| 2  | Software Asset Inventory and Control      | **7 / 10** | **High Risk.** The 85% coverage leaves a significant 15% gap for unknown and potentially vulnerable software (shadow IT). **Reliance on manual updates** is unreliable and slow. |
| 3  | Information Management                    | **2 / 10** | **Strong.** A formal process with data classification and semi-annual audits is a solid practice for protecting sensitive information.                                        |
| 4  | Secure Configuration Process              | **1 / 10** | **Excellent.** Using the CIS framework for hardening and conducting quarterly reviews demonstrates a proactive and best-practice approach to system security.               |
| 5  | User Account Inventories                  | **1 / 10** | **Excellent.** Automated, centrally managed inventories with prompt deactivation of unused accounts significantly reduce the risk of account compromise.                      |
| 6  | Access Provisioning in Systems            | **1 / 10** | **Excellent.** Implementing the principle of least privilege, role-based access, and periodic reviews is the gold standard for access control.                             |
| 7  | Vulnerability Management                  | **2 / 10** | **Strong.** A comprehensive process covering all assets with monthly scans and prioritization shows a solid commitment to identifying and fixing vulnerabilities.            |
| 8  | Log and Activity Record Management        | **1 / 10** | **Excellent.** Automated, centralized, and encrypted logging with a 12-month retention period indicates a mature security monitoring and forensic capability.                |
| 9  | Use of Browsers and Email Clients         | **1 / 10** | **Excellent.** Centrally enforcing the use of supported and updated clients is a simple but highly effective control against common web-based threats.                   |
| 10 | Antimalware                               | **1 / 10** | **Excellent.** The use of centrally managed, modern anti-malware with anti-exploit features represents a very strong endpoint security posture.                          |
| 11 | Data and Information Recovery             | **2 / 10** | **Strong.** A well-defined recovery process with a stated 8-hour objective for critical data and regular reviews is a solid business continuity practice.                |
| 12 | Keeping Network Infrastructure Up to Date | **2 / 10** | **Strong.** Regular patching, change tracking, and semi-annual compliance audits indicate good network security hygiene.                                                    |
| 13 | Centralization of Information Security    | **1 / 10** | **Excellent.** Centralizing security events on a dedicated platform for real-time analysis signifies a mature Security Operations Center (SOC) function.               |
| 14 | Awareness Program                         | **3 / 10** | **Good.** An active program is positive, but annual training is the minimum. More frequent training and phishing simulations would further reduce human risk.            |
| 15 | Third-Party Management                    | **3 / 10** | **Good.** Having a process is crucial. However, an annual review frequency might be insufficient for high-risk vendors, suggesting a minor area for improvement.           |
| 16 | Secure Software Development               | **1 / 10** | **Excellent.** Integrating security throughout the development lifecycle (SSDLC) is a highly effective way to build more secure applications from the ground up.            |
| 17 | Incident Response                         | **1 / 10** | **Excellent.** A formal process with a designated, trained team ensures that security incidents are managed efficiently and effectively.                                    |
| 18 | Penetration Testing                       | **1 / 10** | **Excellent.** Regular penetration testing demonstrates a proactive approach to validating security controls and identifying weaknesses before attackers can.                |
***
### Summary and Recommendation
The partner exhibits a high level of security maturity across nearly all domains. Their processes are well-documented, frequently reviewed, and automated in critical areas like hardware inventory, user access, and logging.
The one significant area of concern is their **Software Asset Inventory**. A 15% visibility gap combined with a manual update process creates a notable risk of unmanaged and vulnerable applications existing on their network.
**Recommendation:**
It is recommended to **proceed with the partnership**, as the overall risk is low. However, this should be contingent upon the partner agreeing to a **Plan of Action and Milestones (POA&amp;M)** to address the software inventory weakness.
**Action Item:** Require the partner to provide a plan within 90 days to:
1.  Increase software inventory coverage to over 95%.
2.  Implement an automated tool for software discovery and inventory management.
This will mitigate the most significant identified risk and ensure their security posture aligns with your company's standards.</t>
  </si>
  <si>
    <t>Based on the partner's responses to the CIS-based questionnaire, here is a detailed risk assessment.
### **Individual Risk Assessment**
Below is the risk level assigned to each topic on a scale of **0 (low risk) to 10 (high risk)**, along with a brief justification.
---
1.  **Hardware Asset Inventory: `Risk Level: 1/10`**
    * **Justification:** The partner demonstrates excellent control with 98% coverage and automated, real-time updates. This is a very mature process. The minimal risk score accounts for the 2% gap, which is a negligible exposure.
2.  **Software Asset Inventory and Control: `Risk Level: 6/10`**
    * **Justification:** This is the most significant area of concern. While 85% coverage is a good start, the **15% blind spot** presents a substantial risk of unauthorized or unpatched software. Furthermore, the reliance on **manual updates** is slow and prone to human error, increasing the likelihood of outdated inventory and delayed responses to new software vulnerabilities.
3.  **Information Management: `Risk Level: 1/10`**
    * **Justification:** The partner has a strong, formal data management process that includes data classification, regular audits, and access reviews. This indicates a mature understanding of data governance.
4.  **Secure Configuration Process: `Risk Level: 1/10`**
    * **Justification:** Adherence to a recognized framework like CIS for secure configurations, combined with standardization and quarterly reviews, represents an industry best practice and a very low-risk approach.
5.  **User Account Inventories: `Risk Level: 0/10`**
    * **Justification:** The process is ideal. Automated, frequent updates combined with central management and prompt deactivation of unused accounts effectively minimizes the risk of unauthorized access through orphaned or stale accounts.
6.  **Access Provisioning in Systems and Applications: `Risk Level: 0/10`**
    * **Justification:** The partner follows the **principle of least privilege** and role-based access control, supported by periodic reviews. This is a textbook example of a strong access control process.
7.  **Vulnerability Management: `Risk Level: 2/10`**
    * **Justification:** The process is comprehensive, covering all assets with monthly scans and prioritization. This is a solid, proactive practice. The risk is not zero, as monthly scans may not be frequent enough for highly critical, internet-facing assets, but it is still a low-risk posture.
8.  **Log and Activity Record Management: `Risk Level: 1/10`**
    * **Justification:** This is an excellent, mature process. Centralized, encrypted, and automated log collection with a 12-month retention period and active monitoring demonstrates a strong capability for detecting and investigating security incidents.
9.  **Use of Browsers and Email Clients: `Risk Level: 1/10`**
    * **Justification:** Central enforcement of security settings and a proactive process for updating authorized versions significantly reduces the risk of exploitation through these common attack vectors.
10. **Antimalware: `Risk Level: 1/10`**
    * **Justification:** The partner’s strategy is robust, covering all endpoints with centrally managed, advanced antimalware solutions that include anti-exploit features and regular effectiveness testing.
11. **Data and Information Recovery: `Risk Level: 2/10`**
    * **Justification:** The process is well-defined. An 8-hour recovery time for critical data is acceptable for most scenarios, though it depends on the specific service level agreement (SLA). The presence of regular backups and reviews indicates a reliable process.
12. **Keeping Network Infrastructure Up to Date: `Risk Level: 1/10`**
    * **Justification:** A process of prompt patching, change tracking, and regular audits shows a mature and secure management of network devices.
13. **Centralization of Information Security Events: `Risk Level: 1/10`**
    * **Justification:** Centralizing security events onto a single platform (likely a SIEM) with real-time monitoring by specialized teams is a hallmark of a mature security operations center (SOC) and represents a very low risk.
14. **Awareness Program: `Risk Level: 3/10`**
    * **Justification:** Having a mandatory program is good, but **annual training is the bare minimum**. Security threats evolve quickly, and employee awareness can fade. A lack of continuous reinforcement (e.g., phishing simulations) presents a moderate risk, as employees remain a primary target for attackers.
15. **Third-Party, Partner, and Vendor Management: `Risk Level: 2/10`**
    * **Justification:** The partner has a formal process for managing its own vendors. An annual review cycle is a standard practice, indicating a good security posture.
16. **Secure Software Development: `Risk Level: 1/10`**
    * **Justification:** Integrating security practices throughout the software development lifecycle (SDLC) is a proactive and highly effective approach to reducing vulnerabilities in applications.
17. **Incident Response: `Risk Level: 1/10`**
    * **Justification:** A formal process with a designated team, regular training, and documentation ensures the partner is well-prepared to handle security incidents efficiently.
18. **Penetration Testing and Attack Simulations: `Risk Level: 1/10`**
    * **Justification:** A regular penetration testing program demonstrates a proactive commitment to identifying and remediating vulnerabilities before they can be exploited by attackers.
---
### **Overall Assessment and Final Risk Level**
The partner demonstrates a strong and mature security posture across most of the assessed domains. The majority of their processes align with or exceed industry best practices. Key strengths include robust identity and access management, comprehensive logging and monitoring, and secure configuration and development practices.
However, two areas introduce notable risk:
* **Primary Concern:** The **Software Asset Inventory** process (Risk Level 6/10) is the most significant weakness. The combination of incomplete coverage and a manual update process creates a window of opportunity for attackers to exploit unmanaged and potentially unpatched software.
* **Secondary Concern:** The **Security Awareness Program** (Risk Level 3/10) relies on annual training, which may not be sufficient to maintain a high level of vigilance among employees against modern threats like sophisticated phishing attacks.
#### **Final Risk Rating: `2/10 (Low Risk)`**
**Overall Assessment:** The partner is classified as **Low Risk**. Despite the weaknesses identified, their overall security infrastructure is robust and well-managed. The risk associated with the software inventory is a specific, addressable gap rather than an indicator of systemic failure.
**Recommendation:** Before finalizing the partnership, it is recommended to discuss a remediation plan for the identified weaknesses, particularly focusing on:
1.  Increasing the coverage of the software inventory to over 95%.
2.  Implementing an automated tool for software inventory management to ensure data is accurate and up-to-date.</t>
  </si>
  <si>
    <t>Based on the partner's responses, here is the information security risk assessment.
The partner's **overall risk level is 2.0 (Low Risk)**. They demonstrate a mature and robust security posture across most of the critical control areas. While there are minor areas for improvement, their foundational security practices are strong, well-documented, and consistently applied.
---
## Detailed Risk Assessment by Topic
Here is the breakdown of the risk score for each control, on a scale of 0 (low risk) to 10 (high risk).
### 1. Hardware Asset Inventory
* **Risk Score: 1 (Low Risk)**
* **Justification:** The partner has an excellent process. **98% coverage** combined with **automated, real-time updates** indicates a very high level of maturity and visibility into their hardware assets.
---
### 2. Software Asset Inventory and Control
* **Risk Score: 6 (Moderate Risk)**
* **Justification:** This is a notable area of concern. While 85% coverage is a good start, the **15% gap** represents a significant blind spot for potential unauthorized or vulnerable software. Furthermore, the reliance on **manual processes** for updates introduces the risk of human error and delays, making it difficult to respond quickly to new threats.
---
### 3. Information Management
* **Risk Score: 2 (Low Risk)**
* **Justification:** The partner has a solid data management process that includes key best practices such as **data classification**, regular audits, and access reviews. This shows a commitment to protecting sensitive information.
---
### 4. Secure Configuration Process
* **Risk Score: 1 (Low Risk)**
* **Justification:** Adherence to a recognized framework like **CIS** for hardening, combined with standardized configurations and a **quarterly review cycle**, represents a very strong and proactive approach to securing systems.
---
### 5. User Account Inventories
* **Risk Score: 0 (Low Risk)**
* **Justification:** This process is exemplary. The combination of a complete inventory with **automated updates, central management, and prompt deactivation** of unused accounts drastically minimizes the risk associated with account compromise.
---
### 6. Access Provisioning in Systems and Applications
* **Risk Score: 1 (Low Risk)**
* **Justification:** The process is robust, incorporating the fundamental principles of **least privilege and role-based access control (RBAC)**. Periodic reviews ensure that access rights remain appropriate over time.
---
### 7. Vulnerability Management
* **Risk Score: 2 (Low Risk)**
* **Justification:** The partner has a comprehensive vulnerability management program. The **monthly scan frequency** is appropriate, and the process includes the critical steps of prioritization and reporting.
---
### 8. Log and Activity Record Management
* **Risk Score: 1 (Low Risk)**
* **Justification:** The log management process is very mature. **Automatic, centralized collection, secure encrypted storage, and regular reviews** by dedicated teams provide excellent visibility and detection capabilities. The 12-month retention policy is also a strong point.
---
### 9. Use of Browsers and Email Clients
* **Risk Score: 1 (Low Risk)**
* **Justification:** Strong controls are in place. Centrally enforcing security settings and maintaining a **quarterly-reviewed list of authorized versions** effectively mitigates risks from these common attack vectors.
---
### 10. Antimalware
* **Risk Score: 1 (Low Risk)**
* **Justification:** The partner's endpoint security is modern and comprehensive. The deployment across all endpoints, combined with **anti-exploit features, central management, and quarterly effectiveness testing**, demonstrates a proactive defense strategy.
---
### 11. Data and Information Recovery
* **Risk Score: 3 (Low-to-Moderate Risk)**
* **Justification:** The process is solid, but the **8-hour recovery time objective (RTO)** for critical data could present a business continuity risk depending on the service being provided. While the backup process is sound, this recovery timeframe is a minor point of concern.
---
### 12. Keeping Network Infrastructure Up to Date
* **Risk Score: 2 (Low Risk)**
* **Justification:** The partner follows standard best practices for network security management, including prompt patching, change tracking, and semi-annual compliance audits.
---
### 13. Centralization of Information Security Events
* **Risk Score: 1 (Low Risk)**
* **Justification:** This indicates a mature security operations capability. Centralizing events on a dedicated platform for **real-time monitoring and analysis** by specialized teams is a critical component of modern cybersecurity defense.
---
### 14. Awareness Program
* **Risk Score: 5 (Moderate Risk)**
* **Justification:** While having a program is good, conducting training only **annually** is a significant weakness. Modern security awareness relies on continuous reinforcement, such as phishing simulations and more frequent, targeted training modules. An annual-only program is often a "check-the-box" exercise and is less effective at changing user behavior.
---
### 15. Third-Party, Partner, and Vendor Management
* **Risk Score: 4 (Low-to-Moderate Risk)**
* **Justification:** The partner has a formal process, but an **annual security assessment** may not be frequent enough for vendors who handle highly sensitive data or perform critical functions. A risk-based approach with more frequent reviews for high-risk vendors would be stronger.
---
### 16. Secure Software Development
* **Risk Score: 2 (Low Risk)**
* **Justification:** The partner demonstrates a strong commitment to application security by embedding security practices throughout the **development lifecycle (SSDLC)**, including secure coding standards and regular testing.
---
### 17. Incident Response
* **Risk Score: 2 (Low Risk)**
* **Justification:** All essential components of an incident response plan are in place: a designated team, regular training, and a formal documentation and review process.
---
### 18. Penetration Testing and Attack Simulations
* **Risk Score: 1 (Low Risk)**
* **Justification:** A formal penetration testing program is a sign of a proactive and mature security posture. Regularly testing critical systems shows a commitment to identifying and remediating vulnerabilities before they can be exploited.</t>
  </si>
  <si>
    <t>Based on the partner's responses, the overall security risk is **Low**, with a calculated score of **1.58 out of 10**.
The partner demonstrates a mature and robust security posture across most of the assessed domains. They have implemented strong foundational controls, including comprehensive asset management, secure configurations, and mature identity and access management processes.
However, a few areas present a slightly elevated risk and should be discussed or monitored. These include the manual processes and coverage gap in their software inventory, the annual frequency of their awareness training, and their vendor risk assessment cycle.
---
## Overall Assessment Summary
* **Overall Risk Score**: **1.58 / 10**
* **Risk Level**: **Low** ✅
**Strengths:** The partner exhibits excellent security hygiene in critical areas such as hardware inventory, secure configuration based on the CIS framework, user account and access management, logging, endpoint protection, and incident response. The presence of automated, centralized, and regularly audited processes indicates a high level of operational maturity.
**Areas for Improvement:** The primary areas of moderate concern are:
1.  **Software Asset Inventory**: A 15% gap in coverage and reliance on manual updates create a blind spot for potential vulnerabilities and unauthorized software.
2.  **Awareness Program**: Annual training is a good baseline, but it can be less effective than a continuous awareness program with more frequent reinforcement (e.g., phishing simulations).
3.  **Third-Party Management**: An annual review cycle for their own vendors may not be frequent enough for high-risk service providers.
---
## Detailed Risk Analysis by Topic
Here is the risk score and justification for each of the partner's responses.
**1. Hardware Asset Inventory**
* **Risk Score: 0.5 / 10**
* **Justification:** The process is excellent. With 98% coverage and automated, real-time updates, the risk of unmanaged or unknown hardware is minimal. This is a very mature control.
**2. Software Asset Inventory and Control**
* **Risk Score: 4.0 / 10**
* **Justification:** This is the weakest area. While 85% coverage is decent, the 15% gap is significant. More importantly, **relying on manual processes** for updates introduces a high risk of human error, delays, and inaccuracies, potentially leaving unauthorized or vulnerable software undetected.
**3. Information Management**
* **Risk Score: 1.0 / 10**
* **Justification:** The partner has a strong, formal process that includes data classification and regular audits. This demonstrates good data governance and significantly reduces the risk of data mishandling.
**4. Secure Configuration Process**
* **Risk Score: 1.0 / 10**
* **Justification:** Adherence to a recognized framework (CIS), standardization, and quarterly reviews represent a robust and proactive approach to system hardening, minimizing vulnerabilities from misconfigurations.
**5. User Account Inventories**
* **Risk Score: 0.5 / 10**
* **Justification:** The process is excellent. Automated, frequent updates and prompt deactivation of unused accounts drastically reduce the risk of orphaned accounts being compromised.
**6. Access Provisioning in Systems and Applications**
* **Risk Score: 1.0 / 10**
* **Justification:** Implementing the **principle of least privilege**, formal approvals, and periodic reviews is the gold standard for access control, minimizing the risk of unauthorized access.
**7. Vulnerability Management**
* **Risk Score: 1.5 / 10**
* **Justification:** A comprehensive process with monthly scans is a strong security practice. While highly critical assets could benefit from more frequent scans, this is a solid baseline that effectively manages vulnerability risk.
**8. Log and Activity Record Management**
* **Risk Score: 1.0 / 10**
* **Justification:** The partner's logging process is mature, featuring automation, centralization, encryption, regular reviews, and a sufficient retention period (12 months). This provides excellent visibility for incident detection and investigation.
**9. Use of Browsers and Email Clients**
* **Risk Score: 1.0 / 10**
* **Justification:** Central enforcement of supported and updated versions for these key attack vectors (browsers and email) is a highly effective control for mitigating common threats.
**10. Antimalware**
* **Risk Score: 1.0 / 10**
* **Justification:** Universal deployment of centrally managed antimalware with advanced features (anti-exploit) and regular effectiveness testing demonstrates a mature endpoint security strategy.
**11. Data and Information Recovery**
* **Risk Score: 2.0 / 10**
* **Justification:** The process is solid. The risk is low but not zero, as an 8-hour recovery time for critical data could still have a business impact depending on the service provided. The key is that a well-defined and tested process exists.
**12. Keeping Network Infrastructure Up to Date**
* **Risk Score: 1.5 / 10**
* **Justification:** A process for prompt patching, change tracking, and semi-annual audits indicates good network hygiene and reduces the risk of exploitation through network device vulnerabilities.
**13. Centralization of Information Security Events**
* **Risk Score: 1.0 / 10**
* **Justification:** Centralizing security events on a dedicated platform (likely a SIEM) with real-time monitoring by specialized teams is a hallmark of a mature security operations center (SOC).
**14. Awareness Program**
* **Risk Score: 3.0 / 10**
* **Justification:** While having a mandatory program is good, **annual training** is often insufficient to maintain a high level of security consciousness among employees. Knowledge fades, and threats evolve quickly. More frequent, engaging content would lower this risk.
**15. Third-Party, Partner, and Vendor Management**
* **Risk Score: 3.5 / 10**
* **Justification:** An **annual review cycle** is a minimum standard. For their own critical vendors, this frequency might not be adequate to detect emerging risks in a timely manner, which could indirectly expose our company.
**16. Secure Software Development**
* **Risk Score: 1.0 / 10**
* **Justification:** Integrating security into the entire development lifecycle (SDLC) is a proactive and highly effective practice that reduces the number of vulnerabilities in their applications from the start.
**17. Incident Response**
* **Risk Score: 1.0 / 10**
* **Justification:** A formal process with a designated team and regular training ensures the partner is well-prepared to detect, contain, and recover from security incidents, minimizing potential damage.
**18. Penetration Testing and Attack Simulations**
* **Risk Score: 1.0 / 10**
* **Justification:** Regular penetration testing is a proactive and valuable control for identifying and remediating weaknesses before they can be exploited by attackers.
---
## Conclusion and Recommendation
**Recommendation: Approve Partnership**
The partner has demonstrated a strong commitment to information security with mature processes across the majority of the CIS controls. The calculated overall risk score of **1.58** is low and falls within an acceptable tolerance for onboarding.
It is recommended to proceed with the partnership, but to contractually require a follow-up or a plan of action within the first six months to address the identified areas of moderate risk, specifically:
* **Software Inventory:** Seek a plan to increase coverage to &gt;95% and explore automation possibilities.
* **Security Awareness:** Encourage the partner to supplement their annual training with quarterly phishing simulations or security newsletters.</t>
  </si>
  <si>
    <t>Based on the analysis of the partner's responses, the overall security risk is rated as **1.8 out of 10**, which is considered **Low Risk**.
The partner demonstrates a mature and comprehensive cybersecurity program with strong controls in most areas. The few identified weaknesses are moderate and can be addressed with specific recommendations.
---
## Detailed Risk Analysis
Below is the risk rating and justification for each of the 18 security topics evaluated. The scale is from **0 (low risk)** to **10 (high risk)**.
### 1. Hardware Asset Inventory
* **Risk Level: 1/10**
* **Justification:** The partner maintains a nearly complete (98%) inventory that is updated automatically and in real-time. This is an excellent practice that significantly reduces the risk of unmanaged or rogue devices on the network. The 2% gap represents a very minor risk.
### 2. Software Asset Inventory and Control
* **Risk Level: 6/10**
* **Justification:** This is the most significant area of concern. The inventory only covers 85% of software, leaving a **15% blind spot** for potential vulnerabilities, unauthorized software, and licensing issues. Furthermore, the reliance on **manual updates** is inefficient and prone to human error, meaning the inventory may be frequently out-of-date.
### 3. Information Management
* **Risk Level: 2/10**
* **Justification:** A formal data management process that includes data classification and regular audits is a strong control. This shows maturity in understanding and protecting sensitive information.
### 4. Secure Configuration Process
* **Risk Level: 1/10**
* **Justification:** Adherence to a well-regarded framework like CIS, combined with standardization and quarterly reviews, demonstrates a robust and proactive approach to system hardening. This greatly minimizes vulnerabilities stemming from misconfigurations.
### 5. User Account Inventories
* **Risk Level: 1/10**
* **Justification:** The process is automated, centrally managed, and includes prompt deactivation of unused accounts. This is an ideal implementation that effectively mitigates risks associated with unauthorized access and orphaned accounts.
### 6. Access Provisioning in Systems and Applications
* **Risk Level: 1/10**
* **Justification:** Implementing the **principle of least privilege**, role-based access, and periodic reviews is the gold standard for access control. This ensures users only have the access necessary for their roles.
### 7. Vulnerability Management
* **Risk Level: 3/10**
* **Justification:** While a formal process exists, the **monthly scanning frequency** creates a potential 30-day window of exposure for newly discovered critical vulnerabilities. While acceptable, a higher frequency (e.g., weekly or bi-weekly) for critical assets would be ideal.
### 8. Log and Activity Record Management
* **Risk Level: 1/10**
* **Justification:** The partner's logging process is excellent. Automatic, centralized, encrypted collection with automated analysis and a 12-month retention period indicates a very high level of maturity in security monitoring and forensics capabilities.
### 9. Use of Browsers and Email Clients
* **Risk Level: 1/10**
* **Justification:** Central enforcement of security settings and ensuring only supported, up-to-date versions are used effectively mitigates risks from common web-based and email-based threats.
### 10. Antimalware
* **Risk Level: 1/10**
* **Justification:** The multi-layered approach—including anti-exploit features, regular testing, and central management—is comprehensive and demonstrates a strong endpoint security posture.
### 11. Data and Information Recovery
* **Risk Level: 2/10**
* **Justification:** The partner has a well-defined recovery process with a stated RTO of 8 hours for critical data, which is solid. Regular backups and secure storage are in place, minimizing the impact of a data loss event.
### 12. Keeping Network Infrastructure Up to Date
* **Risk Level: 1/10**
* **Justification:** Prompt patching, change tracking, and regular audits represent a mature and effective process for maintaining the security of network devices.
### 13. Centralization of Information Security Events
* **Risk Level: 1/10**
* **Justification:** Centralizing security events on a dedicated platform (likely a SIEM) with specialized teams for analysis is a key component of a modern Security Operations Center (SOC) and enables rapid threat detection and response.
### 14. Awareness Program
* **Risk Level: 4/10**
* **Justification:** While an annual mandatory training program is good, its frequency is a weakness. Security awareness is most effective when it is continuous. An **annual-only** program can lead to knowledge decay, making employees more susceptible to social engineering attacks like phishing throughout the year.
### 15. Third-Party, Partner, and Vendor Management
* **Risk Level: 3/10**
* **Justification:** The partner has a foundational process in place. However, an annual review for all vendors might not be sufficient. A more mature, risk-based approach would involve more frequent and rigorous assessments for partners that handle more sensitive data or have deeper system integrations.
### 16. Secure Software Development
* **Risk Level: 1/10**
* **Justification:** Integrating security into every stage of the development lifecycle (SDLC) is a highly effective practice that prevents vulnerabilities from being introduced into applications in the first place.
### 17. Incident Response
* **Risk Level: 1/10**
* **Justification:** A designated team with a formal process, regular training, and post-incident reviews demonstrates preparedness to handle and learn from security incidents effectively.
### 18. Penetration Testing and Attack Simulations
* **Risk Level: 1/10**
* **Justification:** A regular penetration testing program shows a proactive commitment to identifying and remediating weaknesses before they can be exploited by attackers.
---
## Summary and Final Recommendation
* **Overall Risk Score: 1.8 / 10 (Low Risk)**
This partner exhibits a strong and mature information security posture. They have robust controls across most of the critical domains evaluated, particularly in asset management (hardware), secure configurations, access control, logging, and incident response.
**Key Strengths:** 💪
* Excellent use of automation for hardware and user account inventories.
* Adherence to industry standards like the CIS framework for system hardening.
* Mature security operations capabilities with centralized logging and incident response.
* Proactive security measures like penetration testing and a secure SDLC.
**Key Weaknesses / Areas for Improvement:** ⚠️
* **Software Inventory:** The 15% gap in software inventory and the manual update process is the most critical risk and should be addressed immediately.
* **Security Awareness:** The frequency of security awareness training should be increased from annually to a more continuous model (e.g., quarterly training modules and regular phishing simulations).
* **Vulnerability Scanning:** The frequency of vulnerability scans should be reviewed and potentially increased for critical assets.
**Recommendation:** Proceed with the partnership. The identified risks are manageable. It is recommended to request a remediation plan from the partner specifically for improving their **software asset inventory** process within an agreed-upon timeframe (e.g., 90 days).</t>
  </si>
  <si>
    <t>LLM</t>
  </si>
  <si>
    <t>GPT</t>
  </si>
  <si>
    <t>DeepSeek</t>
  </si>
  <si>
    <t>Llama</t>
  </si>
  <si>
    <t>Claude</t>
  </si>
  <si>
    <t>Gemini</t>
  </si>
  <si>
    <t>Pesquisa</t>
  </si>
  <si>
    <t>Testes</t>
  </si>
  <si>
    <t>Teste 3</t>
  </si>
  <si>
    <t>Média</t>
  </si>
  <si>
    <t>Senior +</t>
  </si>
  <si>
    <t>Non Senior</t>
  </si>
  <si>
    <t>p1</t>
  </si>
  <si>
    <t>p2</t>
  </si>
  <si>
    <t>p3</t>
  </si>
  <si>
    <t>p4</t>
  </si>
  <si>
    <t>p5</t>
  </si>
  <si>
    <t>p6</t>
  </si>
  <si>
    <t>p7</t>
  </si>
  <si>
    <t>p8</t>
  </si>
  <si>
    <t>p9</t>
  </si>
  <si>
    <t>p10</t>
  </si>
  <si>
    <t>p11</t>
  </si>
  <si>
    <t>p12</t>
  </si>
  <si>
    <t>p13</t>
  </si>
  <si>
    <t>p14</t>
  </si>
  <si>
    <t>p15</t>
  </si>
  <si>
    <t>p16</t>
  </si>
  <si>
    <t>p17</t>
  </si>
  <si>
    <t>p18</t>
  </si>
  <si>
    <t>Média LLM</t>
  </si>
  <si>
    <t>x</t>
  </si>
  <si>
    <t>Média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</si>
</sst>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Aptos Narrow"/>
      <scheme val="minor"/>
    </font>
    <font>
      <sz val="11"/>
      <color rgb="FF000000"/>
      <name val="Aptos Narrow"/>
      <scheme val="minor"/>
    </font>
    <font>
      <b/>
      <sz val="11"/>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theme="2"/>
      </left>
      <right/>
      <top style="thin">
        <color theme="2"/>
      </top>
      <bottom/>
      <diagonal/>
    </border>
    <border>
      <left/>
      <right style="thin">
        <color theme="2"/>
      </right>
      <top style="thin">
        <color theme="2"/>
      </top>
      <bottom/>
      <diagonal/>
    </border>
    <border>
      <left style="thin">
        <color theme="2"/>
      </left>
      <right/>
      <top/>
      <bottom style="thin">
        <color theme="2"/>
      </bottom>
      <diagonal/>
    </border>
    <border>
      <left/>
      <right style="thin">
        <color theme="2"/>
      </right>
      <top/>
      <bottom style="thin">
        <color theme="2"/>
      </bottom>
      <diagonal/>
    </border>
    <border>
      <left/>
      <right/>
      <top style="thin">
        <color theme="2"/>
      </top>
      <bottom/>
      <diagonal/>
    </border>
    <border>
      <left/>
      <right/>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rgb="FF000000"/>
      </left>
      <right style="thin">
        <color theme="2"/>
      </right>
      <top style="thin">
        <color rgb="FF000000"/>
      </top>
      <bottom style="thin">
        <color theme="2"/>
      </bottom>
      <diagonal/>
    </border>
    <border>
      <left style="thin">
        <color theme="2"/>
      </left>
      <right style="thin">
        <color theme="2"/>
      </right>
      <top style="thin">
        <color rgb="FF000000"/>
      </top>
      <bottom style="thin">
        <color theme="2"/>
      </bottom>
      <diagonal/>
    </border>
    <border>
      <left style="thin">
        <color rgb="FF000000"/>
      </left>
      <right style="thin">
        <color theme="2"/>
      </right>
      <top style="thin">
        <color theme="2"/>
      </top>
      <bottom style="thin">
        <color theme="2"/>
      </bottom>
      <diagonal/>
    </border>
    <border>
      <left style="thin">
        <color rgb="FF000000"/>
      </left>
      <right style="thin">
        <color theme="2"/>
      </right>
      <top style="thin">
        <color theme="2"/>
      </top>
      <bottom style="thin">
        <color rgb="FF000000"/>
      </bottom>
      <diagonal/>
    </border>
    <border>
      <left style="thin">
        <color theme="2"/>
      </left>
      <right style="thin">
        <color theme="2"/>
      </right>
      <top style="thin">
        <color theme="2"/>
      </top>
      <bottom style="thin">
        <color rgb="FF000000"/>
      </bottom>
      <diagonal/>
    </border>
    <border>
      <left style="thin">
        <color theme="2"/>
      </left>
      <right/>
      <top style="thin">
        <color rgb="FF000000"/>
      </top>
      <bottom style="thin">
        <color theme="2"/>
      </bottom>
      <diagonal/>
    </border>
    <border>
      <left style="thin">
        <color theme="2"/>
      </left>
      <right/>
      <top style="thin">
        <color theme="2"/>
      </top>
      <bottom style="thin">
        <color rgb="FF000000"/>
      </bottom>
      <diagonal/>
    </border>
  </borders>
  <cellStyleXfs count="1">
    <xf numFmtId="0" fontId="0" fillId="0" borderId="0"/>
  </cellStyleXfs>
  <cellXfs count="58">
    <xf numFmtId="0" fontId="0" fillId="0" borderId="0" xfId="0"/>
    <xf numFmtId="0" fontId="1" fillId="0" borderId="0" xfId="0" applyFont="1" applyAlignment="1">
      <alignment horizontal="center" vertical="center" wrapText="1"/>
    </xf>
    <xf numFmtId="0" fontId="2" fillId="0" borderId="0" xfId="0" applyFont="1" applyAlignment="1">
      <alignment horizontal="left" vertical="top" wrapText="1"/>
    </xf>
    <xf numFmtId="0" fontId="3" fillId="0" borderId="0" xfId="0" applyFont="1" applyAlignment="1">
      <alignment horizontal="center" vertical="center"/>
    </xf>
    <xf numFmtId="0" fontId="0" fillId="0" borderId="0" xfId="0" applyAlignment="1">
      <alignment vertical="top" wrapText="1"/>
    </xf>
    <xf numFmtId="0" fontId="0" fillId="2" borderId="1" xfId="0" applyFill="1" applyBorder="1" applyAlignment="1">
      <alignment horizontal="center" vertical="center"/>
    </xf>
    <xf numFmtId="0" fontId="0" fillId="3" borderId="1" xfId="0" applyFill="1" applyBorder="1"/>
    <xf numFmtId="0" fontId="0" fillId="3" borderId="13" xfId="0" applyFill="1" applyBorder="1"/>
    <xf numFmtId="0" fontId="0" fillId="3" borderId="0" xfId="0" applyFill="1"/>
    <xf numFmtId="0" fontId="0" fillId="3" borderId="12" xfId="0" applyFill="1" applyBorder="1"/>
    <xf numFmtId="2" fontId="0" fillId="0" borderId="6" xfId="0" applyNumberFormat="1" applyBorder="1"/>
    <xf numFmtId="2" fontId="0" fillId="0" borderId="9" xfId="0" applyNumberFormat="1" applyBorder="1"/>
    <xf numFmtId="0" fontId="0" fillId="0" borderId="14" xfId="0" applyBorder="1"/>
    <xf numFmtId="0" fontId="0" fillId="0" borderId="18" xfId="0" applyBorder="1"/>
    <xf numFmtId="0" fontId="0" fillId="0" borderId="15" xfId="0" applyBorder="1"/>
    <xf numFmtId="0" fontId="0" fillId="0" borderId="16" xfId="0" applyBorder="1"/>
    <xf numFmtId="0" fontId="0" fillId="0" borderId="19" xfId="0" applyBorder="1"/>
    <xf numFmtId="0" fontId="0" fillId="0" borderId="17" xfId="0" applyBorder="1"/>
    <xf numFmtId="0" fontId="0" fillId="0" borderId="20" xfId="0" applyBorder="1"/>
    <xf numFmtId="0" fontId="0" fillId="0" borderId="21" xfId="0" applyBorder="1"/>
    <xf numFmtId="0" fontId="0" fillId="0" borderId="22" xfId="0" applyBorder="1"/>
    <xf numFmtId="2" fontId="0" fillId="4" borderId="23" xfId="0" applyNumberFormat="1" applyFill="1" applyBorder="1"/>
    <xf numFmtId="2" fontId="0" fillId="4" borderId="20" xfId="0" applyNumberFormat="1" applyFill="1" applyBorder="1"/>
    <xf numFmtId="2" fontId="0" fillId="0" borderId="0" xfId="0" applyNumberFormat="1"/>
    <xf numFmtId="2" fontId="0" fillId="4" borderId="24" xfId="0" applyNumberFormat="1" applyFill="1" applyBorder="1"/>
    <xf numFmtId="2" fontId="0" fillId="4" borderId="25" xfId="0" applyNumberFormat="1" applyFill="1" applyBorder="1"/>
    <xf numFmtId="2" fontId="0" fillId="4" borderId="26" xfId="0" applyNumberFormat="1" applyFill="1" applyBorder="1"/>
    <xf numFmtId="2" fontId="0" fillId="4" borderId="27" xfId="0" applyNumberFormat="1" applyFill="1" applyBorder="1"/>
    <xf numFmtId="2" fontId="0" fillId="4" borderId="28" xfId="0" applyNumberFormat="1" applyFill="1" applyBorder="1"/>
    <xf numFmtId="0" fontId="0" fillId="0" borderId="1" xfId="0" applyBorder="1"/>
    <xf numFmtId="2" fontId="0" fillId="4" borderId="29" xfId="0" applyNumberFormat="1" applyFill="1" applyBorder="1"/>
    <xf numFmtId="2" fontId="0" fillId="4" borderId="30" xfId="0" applyNumberFormat="1" applyFill="1" applyBorder="1"/>
    <xf numFmtId="2" fontId="0" fillId="0" borderId="5" xfId="0" applyNumberFormat="1" applyBorder="1"/>
    <xf numFmtId="2" fontId="0" fillId="0" borderId="11" xfId="0" applyNumberFormat="1" applyBorder="1"/>
    <xf numFmtId="2" fontId="0" fillId="0" borderId="8" xfId="0" applyNumberFormat="1" applyBorder="1"/>
    <xf numFmtId="2" fontId="0" fillId="0" borderId="11" xfId="0" applyNumberFormat="1" applyBorder="1" applyAlignment="1">
      <alignment horizontal="center" vertical="center"/>
    </xf>
    <xf numFmtId="2" fontId="0" fillId="0" borderId="0" xfId="0" applyNumberFormat="1" applyAlignment="1">
      <alignment horizontal="center" vertical="center"/>
    </xf>
    <xf numFmtId="2" fontId="0" fillId="0" borderId="12" xfId="0" applyNumberFormat="1" applyBorder="1" applyAlignment="1">
      <alignment horizontal="center" vertical="center"/>
    </xf>
    <xf numFmtId="2" fontId="0" fillId="0" borderId="8" xfId="0" applyNumberFormat="1" applyBorder="1" applyAlignment="1">
      <alignment horizontal="center" vertical="center"/>
    </xf>
    <xf numFmtId="2" fontId="0" fillId="0" borderId="0" xfId="0" applyNumberFormat="1" applyAlignment="1">
      <alignment horizontal="center"/>
    </xf>
    <xf numFmtId="0" fontId="0" fillId="0" borderId="12" xfId="0"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0" fontId="0" fillId="3" borderId="8" xfId="0" applyFill="1" applyBorder="1" applyAlignment="1">
      <alignment horizontal="center" vertic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6" xfId="0" applyFill="1" applyBorder="1" applyAlignment="1">
      <alignment horizontal="center"/>
    </xf>
    <xf numFmtId="0" fontId="0" fillId="3" borderId="7" xfId="0" applyFill="1" applyBorder="1" applyAlignment="1">
      <alignment horizontal="center"/>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0" fillId="0" borderId="1" xfId="0" applyBorder="1"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A22"/>
  <sheetViews>
    <sheetView tabSelected="1" topLeftCell="A6" workbookViewId="0">
      <selection activeCell="A14" sqref="A14"/>
    </sheetView>
  </sheetViews>
  <sheetFormatPr baseColWidth="10" defaultColWidth="8.83203125" defaultRowHeight="15" x14ac:dyDescent="0.2"/>
  <cols>
    <col min="1" max="1" width="201" customWidth="1"/>
  </cols>
  <sheetData>
    <row r="1" spans="1:1" ht="22.5" customHeight="1" x14ac:dyDescent="0.2">
      <c r="A1" s="1" t="s">
        <v>0</v>
      </c>
    </row>
    <row r="2" spans="1:1" ht="96" x14ac:dyDescent="0.2">
      <c r="A2" s="2" t="s">
        <v>1</v>
      </c>
    </row>
    <row r="4" spans="1:1" ht="21" customHeight="1" x14ac:dyDescent="0.2">
      <c r="A4" s="3" t="s">
        <v>2</v>
      </c>
    </row>
    <row r="5" spans="1:1" ht="80" x14ac:dyDescent="0.2">
      <c r="A5" s="4" t="s">
        <v>3</v>
      </c>
    </row>
    <row r="6" spans="1:1" ht="80" x14ac:dyDescent="0.2">
      <c r="A6" s="4" t="s">
        <v>4</v>
      </c>
    </row>
    <row r="7" spans="1:1" ht="64" x14ac:dyDescent="0.2">
      <c r="A7" s="4" t="s">
        <v>5</v>
      </c>
    </row>
    <row r="8" spans="1:1" ht="64" x14ac:dyDescent="0.2">
      <c r="A8" s="4" t="s">
        <v>6</v>
      </c>
    </row>
    <row r="9" spans="1:1" ht="64" x14ac:dyDescent="0.2">
      <c r="A9" s="4" t="s">
        <v>7</v>
      </c>
    </row>
    <row r="10" spans="1:1" ht="64" x14ac:dyDescent="0.2">
      <c r="A10" s="4" t="s">
        <v>8</v>
      </c>
    </row>
    <row r="11" spans="1:1" ht="80" x14ac:dyDescent="0.2">
      <c r="A11" s="4" t="s">
        <v>9</v>
      </c>
    </row>
    <row r="12" spans="1:1" ht="80" x14ac:dyDescent="0.2">
      <c r="A12" s="4" t="s">
        <v>10</v>
      </c>
    </row>
    <row r="13" spans="1:1" ht="80" x14ac:dyDescent="0.2">
      <c r="A13" s="4" t="s">
        <v>11</v>
      </c>
    </row>
    <row r="14" spans="1:1" ht="80" x14ac:dyDescent="0.2">
      <c r="A14" s="4" t="s">
        <v>12</v>
      </c>
    </row>
    <row r="15" spans="1:1" ht="64" x14ac:dyDescent="0.2">
      <c r="A15" s="4" t="s">
        <v>13</v>
      </c>
    </row>
    <row r="16" spans="1:1" ht="64" x14ac:dyDescent="0.2">
      <c r="A16" s="4" t="s">
        <v>14</v>
      </c>
    </row>
    <row r="17" spans="1:1" ht="64" x14ac:dyDescent="0.2">
      <c r="A17" s="4" t="s">
        <v>15</v>
      </c>
    </row>
    <row r="18" spans="1:1" ht="64" x14ac:dyDescent="0.2">
      <c r="A18" s="4" t="s">
        <v>16</v>
      </c>
    </row>
    <row r="19" spans="1:1" ht="64" x14ac:dyDescent="0.2">
      <c r="A19" s="4" t="s">
        <v>17</v>
      </c>
    </row>
    <row r="20" spans="1:1" ht="80" x14ac:dyDescent="0.2">
      <c r="A20" s="4" t="s">
        <v>18</v>
      </c>
    </row>
    <row r="21" spans="1:1" ht="64" x14ac:dyDescent="0.2">
      <c r="A21" s="4" t="s">
        <v>19</v>
      </c>
    </row>
    <row r="22" spans="1:1" ht="86.25" customHeight="1" x14ac:dyDescent="0.2">
      <c r="A22" s="4"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9C28-6EED-460B-9EC4-9A64927C928A}">
  <sheetPr>
    <tabColor theme="3" tint="0.89999084444715716"/>
  </sheetPr>
  <dimension ref="A1:E11"/>
  <sheetViews>
    <sheetView workbookViewId="0">
      <selection activeCell="A3" sqref="A3:A11"/>
    </sheetView>
  </sheetViews>
  <sheetFormatPr baseColWidth="10" defaultColWidth="8.83203125" defaultRowHeight="15" x14ac:dyDescent="0.2"/>
  <cols>
    <col min="1" max="5" width="200.6640625" customWidth="1"/>
  </cols>
  <sheetData>
    <row r="1" spans="1:5" x14ac:dyDescent="0.2">
      <c r="A1" t="s">
        <v>21</v>
      </c>
    </row>
    <row r="2" spans="1:5" ht="25.5" customHeight="1" x14ac:dyDescent="0.2">
      <c r="A2" s="5" t="s">
        <v>22</v>
      </c>
      <c r="B2" s="5" t="s">
        <v>23</v>
      </c>
      <c r="C2" s="5" t="s">
        <v>24</v>
      </c>
      <c r="D2" s="5" t="s">
        <v>25</v>
      </c>
      <c r="E2" s="5" t="s">
        <v>26</v>
      </c>
    </row>
    <row r="3" spans="1:5" ht="408.75" customHeight="1" x14ac:dyDescent="0.2">
      <c r="A3" s="51" t="s">
        <v>27</v>
      </c>
      <c r="B3" s="52" t="s">
        <v>28</v>
      </c>
      <c r="C3" s="52" t="s">
        <v>29</v>
      </c>
      <c r="D3" s="52" t="s">
        <v>30</v>
      </c>
      <c r="E3" s="52" t="s">
        <v>31</v>
      </c>
    </row>
    <row r="4" spans="1:5" ht="405" customHeight="1" x14ac:dyDescent="0.2">
      <c r="A4" s="51"/>
      <c r="B4" s="53"/>
      <c r="C4" s="53"/>
      <c r="D4" s="53"/>
      <c r="E4" s="53"/>
    </row>
    <row r="5" spans="1:5" ht="407.25" customHeight="1" x14ac:dyDescent="0.2">
      <c r="A5" s="51"/>
      <c r="B5" s="53"/>
      <c r="C5" s="53"/>
      <c r="D5" s="53"/>
      <c r="E5" s="53"/>
    </row>
    <row r="6" spans="1:5" ht="406.5" customHeight="1" x14ac:dyDescent="0.2">
      <c r="A6" s="51"/>
      <c r="B6" s="53"/>
      <c r="C6" s="53"/>
      <c r="D6" s="53"/>
      <c r="E6" s="53"/>
    </row>
    <row r="7" spans="1:5" ht="405.75" customHeight="1" x14ac:dyDescent="0.2">
      <c r="A7" s="51"/>
      <c r="B7" s="53"/>
      <c r="C7" s="53"/>
      <c r="D7" s="53"/>
      <c r="E7" s="53"/>
    </row>
    <row r="8" spans="1:5" ht="405.75" customHeight="1" x14ac:dyDescent="0.2">
      <c r="A8" s="51"/>
      <c r="B8" s="53"/>
      <c r="C8" s="53"/>
      <c r="D8" s="53"/>
      <c r="E8" s="53"/>
    </row>
    <row r="9" spans="1:5" ht="402.75" customHeight="1" x14ac:dyDescent="0.2">
      <c r="A9" s="51"/>
      <c r="B9" s="53"/>
      <c r="C9" s="53"/>
      <c r="D9" s="53"/>
      <c r="E9" s="53"/>
    </row>
    <row r="10" spans="1:5" ht="409.5" customHeight="1" x14ac:dyDescent="0.2">
      <c r="A10" s="51"/>
      <c r="B10" s="53"/>
      <c r="C10" s="53"/>
      <c r="D10" s="53"/>
      <c r="E10" s="53"/>
    </row>
    <row r="11" spans="1:5" ht="408.75" customHeight="1" x14ac:dyDescent="0.2">
      <c r="A11" s="51"/>
      <c r="B11" s="54"/>
      <c r="C11" s="54"/>
      <c r="D11" s="54"/>
      <c r="E11" s="54"/>
    </row>
  </sheetData>
  <mergeCells count="5">
    <mergeCell ref="A3:A11"/>
    <mergeCell ref="B3:B11"/>
    <mergeCell ref="C3:C11"/>
    <mergeCell ref="D3:D11"/>
    <mergeCell ref="E3: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C1EA2-67B5-4C40-90B7-380F3088C77F}">
  <sheetPr>
    <tabColor theme="3" tint="0.89999084444715716"/>
  </sheetPr>
  <dimension ref="A1:E11"/>
  <sheetViews>
    <sheetView topLeftCell="D1" workbookViewId="0">
      <selection activeCell="B48" sqref="A48:B58"/>
    </sheetView>
  </sheetViews>
  <sheetFormatPr baseColWidth="10" defaultColWidth="8.83203125" defaultRowHeight="15" x14ac:dyDescent="0.2"/>
  <cols>
    <col min="1" max="5" width="200.6640625" customWidth="1"/>
  </cols>
  <sheetData>
    <row r="1" spans="1:5" x14ac:dyDescent="0.2">
      <c r="A1" t="s">
        <v>32</v>
      </c>
    </row>
    <row r="2" spans="1:5" ht="25.5" customHeight="1" x14ac:dyDescent="0.2">
      <c r="A2" s="5" t="s">
        <v>22</v>
      </c>
      <c r="B2" s="5" t="s">
        <v>23</v>
      </c>
      <c r="C2" s="5" t="s">
        <v>24</v>
      </c>
      <c r="D2" s="5" t="s">
        <v>25</v>
      </c>
      <c r="E2" s="5" t="s">
        <v>26</v>
      </c>
    </row>
    <row r="3" spans="1:5" ht="408.75" customHeight="1" x14ac:dyDescent="0.2">
      <c r="A3" s="51" t="s">
        <v>33</v>
      </c>
      <c r="B3" s="51" t="s">
        <v>34</v>
      </c>
      <c r="C3" s="51" t="s">
        <v>35</v>
      </c>
      <c r="D3" s="51" t="s">
        <v>36</v>
      </c>
      <c r="E3" s="51" t="s">
        <v>37</v>
      </c>
    </row>
    <row r="4" spans="1:5" ht="405" customHeight="1" x14ac:dyDescent="0.2">
      <c r="A4" s="55"/>
      <c r="B4" s="55"/>
      <c r="C4" s="55"/>
      <c r="D4" s="55"/>
      <c r="E4" s="55"/>
    </row>
    <row r="5" spans="1:5" ht="407.25" customHeight="1" x14ac:dyDescent="0.2">
      <c r="A5" s="55"/>
      <c r="B5" s="55"/>
      <c r="C5" s="55"/>
      <c r="D5" s="55"/>
      <c r="E5" s="55"/>
    </row>
    <row r="6" spans="1:5" ht="406.5" customHeight="1" x14ac:dyDescent="0.2">
      <c r="A6" s="55"/>
      <c r="B6" s="55"/>
      <c r="C6" s="55"/>
      <c r="D6" s="55"/>
      <c r="E6" s="55"/>
    </row>
    <row r="7" spans="1:5" ht="405.75" customHeight="1" x14ac:dyDescent="0.2">
      <c r="A7" s="55"/>
      <c r="B7" s="55"/>
      <c r="C7" s="55"/>
      <c r="D7" s="55"/>
      <c r="E7" s="55"/>
    </row>
    <row r="8" spans="1:5" ht="405.75" customHeight="1" x14ac:dyDescent="0.2">
      <c r="A8" s="55"/>
      <c r="B8" s="55"/>
      <c r="C8" s="55"/>
      <c r="D8" s="55"/>
      <c r="E8" s="55"/>
    </row>
    <row r="9" spans="1:5" ht="402.75" customHeight="1" x14ac:dyDescent="0.2">
      <c r="A9" s="55"/>
      <c r="B9" s="55"/>
      <c r="C9" s="55"/>
      <c r="D9" s="55"/>
      <c r="E9" s="55"/>
    </row>
    <row r="10" spans="1:5" ht="409.5" customHeight="1" x14ac:dyDescent="0.2">
      <c r="A10" s="55"/>
      <c r="B10" s="55"/>
      <c r="C10" s="55"/>
      <c r="D10" s="55"/>
      <c r="E10" s="55"/>
    </row>
    <row r="11" spans="1:5" ht="408.75" customHeight="1" x14ac:dyDescent="0.2">
      <c r="A11" s="55"/>
      <c r="B11" s="55"/>
      <c r="C11" s="55"/>
      <c r="D11" s="55"/>
      <c r="E11" s="55"/>
    </row>
  </sheetData>
  <mergeCells count="5">
    <mergeCell ref="A3:A11"/>
    <mergeCell ref="B3:B11"/>
    <mergeCell ref="C3:C11"/>
    <mergeCell ref="D3:D11"/>
    <mergeCell ref="E3:E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6AFE-CC35-4088-86C2-DFD95B8ACE25}">
  <sheetPr>
    <tabColor theme="3" tint="0.89999084444715716"/>
  </sheetPr>
  <dimension ref="A1:E11"/>
  <sheetViews>
    <sheetView topLeftCell="D1" workbookViewId="0">
      <selection activeCell="E3" sqref="E3:E23"/>
    </sheetView>
  </sheetViews>
  <sheetFormatPr baseColWidth="10" defaultColWidth="8.83203125" defaultRowHeight="15" x14ac:dyDescent="0.2"/>
  <cols>
    <col min="1" max="5" width="200.6640625" customWidth="1"/>
  </cols>
  <sheetData>
    <row r="1" spans="1:5" x14ac:dyDescent="0.2">
      <c r="A1" t="s">
        <v>38</v>
      </c>
    </row>
    <row r="2" spans="1:5" ht="25.5" customHeight="1" x14ac:dyDescent="0.2">
      <c r="A2" s="5" t="s">
        <v>22</v>
      </c>
      <c r="B2" s="5" t="s">
        <v>23</v>
      </c>
      <c r="C2" s="5" t="s">
        <v>24</v>
      </c>
      <c r="D2" s="5" t="s">
        <v>25</v>
      </c>
      <c r="E2" s="5" t="s">
        <v>26</v>
      </c>
    </row>
    <row r="3" spans="1:5" ht="408.75" customHeight="1" x14ac:dyDescent="0.2">
      <c r="A3" s="51" t="s">
        <v>39</v>
      </c>
      <c r="B3" s="51" t="s">
        <v>40</v>
      </c>
      <c r="C3" s="51" t="s">
        <v>41</v>
      </c>
      <c r="D3" s="51" t="s">
        <v>42</v>
      </c>
      <c r="E3" s="51" t="s">
        <v>43</v>
      </c>
    </row>
    <row r="4" spans="1:5" ht="405" customHeight="1" x14ac:dyDescent="0.2">
      <c r="A4" s="51"/>
      <c r="B4" s="51"/>
      <c r="C4" s="51"/>
      <c r="D4" s="51"/>
      <c r="E4" s="51"/>
    </row>
    <row r="5" spans="1:5" ht="407.25" customHeight="1" x14ac:dyDescent="0.2">
      <c r="A5" s="51"/>
      <c r="B5" s="51"/>
      <c r="C5" s="51"/>
      <c r="D5" s="51"/>
      <c r="E5" s="51"/>
    </row>
    <row r="6" spans="1:5" ht="406.5" customHeight="1" x14ac:dyDescent="0.2">
      <c r="A6" s="51"/>
      <c r="B6" s="51"/>
      <c r="C6" s="51"/>
      <c r="D6" s="51"/>
      <c r="E6" s="51"/>
    </row>
    <row r="7" spans="1:5" ht="405.75" customHeight="1" x14ac:dyDescent="0.2">
      <c r="A7" s="51"/>
      <c r="B7" s="51"/>
      <c r="C7" s="51"/>
      <c r="D7" s="51"/>
      <c r="E7" s="51"/>
    </row>
    <row r="8" spans="1:5" ht="405.75" customHeight="1" x14ac:dyDescent="0.2">
      <c r="A8" s="51"/>
      <c r="B8" s="51"/>
      <c r="C8" s="51"/>
      <c r="D8" s="51"/>
      <c r="E8" s="51"/>
    </row>
    <row r="9" spans="1:5" ht="402.75" customHeight="1" x14ac:dyDescent="0.2">
      <c r="A9" s="51"/>
      <c r="B9" s="51"/>
      <c r="C9" s="51"/>
      <c r="D9" s="51"/>
      <c r="E9" s="51"/>
    </row>
    <row r="10" spans="1:5" ht="409.5" customHeight="1" x14ac:dyDescent="0.2">
      <c r="A10" s="51"/>
      <c r="B10" s="51"/>
      <c r="C10" s="51"/>
      <c r="D10" s="51"/>
      <c r="E10" s="51"/>
    </row>
    <row r="11" spans="1:5" ht="408.75" customHeight="1" x14ac:dyDescent="0.2">
      <c r="A11" s="51"/>
      <c r="B11" s="51"/>
      <c r="C11" s="51"/>
      <c r="D11" s="51"/>
      <c r="E11" s="51"/>
    </row>
  </sheetData>
  <mergeCells count="5">
    <mergeCell ref="A3:A11"/>
    <mergeCell ref="B3:B11"/>
    <mergeCell ref="C3:C11"/>
    <mergeCell ref="D3:D11"/>
    <mergeCell ref="E3:E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CA23-0465-40F5-ADB5-883A51E53E7F}">
  <sheetPr>
    <tabColor theme="3" tint="0.89999084444715716"/>
  </sheetPr>
  <dimension ref="A1:E11"/>
  <sheetViews>
    <sheetView topLeftCell="D1" workbookViewId="0">
      <selection activeCell="E3" sqref="E3:E11"/>
    </sheetView>
  </sheetViews>
  <sheetFormatPr baseColWidth="10" defaultColWidth="8.83203125" defaultRowHeight="15" x14ac:dyDescent="0.2"/>
  <cols>
    <col min="1" max="5" width="200.6640625" customWidth="1"/>
  </cols>
  <sheetData>
    <row r="1" spans="1:5" x14ac:dyDescent="0.2">
      <c r="A1" t="s">
        <v>44</v>
      </c>
    </row>
    <row r="2" spans="1:5" ht="25.5" customHeight="1" x14ac:dyDescent="0.2">
      <c r="A2" s="5" t="s">
        <v>22</v>
      </c>
      <c r="B2" s="5" t="s">
        <v>23</v>
      </c>
      <c r="C2" s="5" t="s">
        <v>24</v>
      </c>
      <c r="D2" s="5" t="s">
        <v>25</v>
      </c>
      <c r="E2" s="5" t="s">
        <v>26</v>
      </c>
    </row>
    <row r="3" spans="1:5" ht="408.75" customHeight="1" x14ac:dyDescent="0.2">
      <c r="A3" s="51" t="s">
        <v>45</v>
      </c>
      <c r="B3" s="51" t="s">
        <v>46</v>
      </c>
      <c r="C3" s="51" t="s">
        <v>47</v>
      </c>
      <c r="D3" s="51" t="s">
        <v>48</v>
      </c>
      <c r="E3" s="51" t="s">
        <v>49</v>
      </c>
    </row>
    <row r="4" spans="1:5" ht="405" customHeight="1" x14ac:dyDescent="0.2">
      <c r="A4" s="55"/>
      <c r="B4" s="55"/>
      <c r="C4" s="55"/>
      <c r="D4" s="55"/>
      <c r="E4" s="55"/>
    </row>
    <row r="5" spans="1:5" ht="407.25" customHeight="1" x14ac:dyDescent="0.2">
      <c r="A5" s="55"/>
      <c r="B5" s="55"/>
      <c r="C5" s="55"/>
      <c r="D5" s="55"/>
      <c r="E5" s="55"/>
    </row>
    <row r="6" spans="1:5" ht="406.5" customHeight="1" x14ac:dyDescent="0.2">
      <c r="A6" s="55"/>
      <c r="B6" s="55"/>
      <c r="C6" s="55"/>
      <c r="D6" s="55"/>
      <c r="E6" s="55"/>
    </row>
    <row r="7" spans="1:5" ht="405.75" customHeight="1" x14ac:dyDescent="0.2">
      <c r="A7" s="55"/>
      <c r="B7" s="55"/>
      <c r="C7" s="55"/>
      <c r="D7" s="55"/>
      <c r="E7" s="55"/>
    </row>
    <row r="8" spans="1:5" ht="405.75" customHeight="1" x14ac:dyDescent="0.2">
      <c r="A8" s="55"/>
      <c r="B8" s="55"/>
      <c r="C8" s="55"/>
      <c r="D8" s="55"/>
      <c r="E8" s="55"/>
    </row>
    <row r="9" spans="1:5" ht="402.75" customHeight="1" x14ac:dyDescent="0.2">
      <c r="A9" s="55"/>
      <c r="B9" s="55"/>
      <c r="C9" s="55"/>
      <c r="D9" s="55"/>
      <c r="E9" s="55"/>
    </row>
    <row r="10" spans="1:5" ht="409.5" customHeight="1" x14ac:dyDescent="0.2">
      <c r="A10" s="55"/>
      <c r="B10" s="55"/>
      <c r="C10" s="55"/>
      <c r="D10" s="55"/>
      <c r="E10" s="55"/>
    </row>
    <row r="11" spans="1:5" ht="408.75" customHeight="1" x14ac:dyDescent="0.2">
      <c r="A11" s="55"/>
      <c r="B11" s="55"/>
      <c r="C11" s="55"/>
      <c r="D11" s="55"/>
      <c r="E11" s="55"/>
    </row>
  </sheetData>
  <mergeCells count="5">
    <mergeCell ref="A3:A11"/>
    <mergeCell ref="B3:B11"/>
    <mergeCell ref="C3:C11"/>
    <mergeCell ref="D3:D11"/>
    <mergeCell ref="E3:E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A92A-A374-43DC-929E-87015D4AA64A}">
  <sheetPr>
    <tabColor theme="3" tint="0.89999084444715716"/>
  </sheetPr>
  <dimension ref="A1:E11"/>
  <sheetViews>
    <sheetView topLeftCell="B1" workbookViewId="0">
      <selection activeCell="E2" sqref="E2:E11"/>
    </sheetView>
  </sheetViews>
  <sheetFormatPr baseColWidth="10" defaultColWidth="8.83203125" defaultRowHeight="15" x14ac:dyDescent="0.2"/>
  <cols>
    <col min="1" max="5" width="200.6640625" customWidth="1"/>
  </cols>
  <sheetData>
    <row r="1" spans="1:5" x14ac:dyDescent="0.2">
      <c r="A1" t="s">
        <v>50</v>
      </c>
    </row>
    <row r="2" spans="1:5" ht="25.5" customHeight="1" x14ac:dyDescent="0.2">
      <c r="A2" s="5" t="s">
        <v>22</v>
      </c>
      <c r="B2" s="5" t="s">
        <v>23</v>
      </c>
      <c r="C2" s="5" t="s">
        <v>24</v>
      </c>
      <c r="D2" s="5" t="s">
        <v>25</v>
      </c>
      <c r="E2" s="5" t="s">
        <v>26</v>
      </c>
    </row>
    <row r="3" spans="1:5" ht="408.75" customHeight="1" x14ac:dyDescent="0.2">
      <c r="A3" s="56" t="s">
        <v>51</v>
      </c>
      <c r="B3" s="56" t="s">
        <v>52</v>
      </c>
      <c r="C3" s="56" t="s">
        <v>53</v>
      </c>
      <c r="D3" s="56" t="s">
        <v>54</v>
      </c>
      <c r="E3" s="56" t="s">
        <v>55</v>
      </c>
    </row>
    <row r="4" spans="1:5" ht="405" customHeight="1" x14ac:dyDescent="0.2">
      <c r="A4" s="57"/>
      <c r="B4" s="57"/>
      <c r="C4" s="57"/>
      <c r="D4" s="57"/>
      <c r="E4" s="57"/>
    </row>
    <row r="5" spans="1:5" ht="407.25" customHeight="1" x14ac:dyDescent="0.2">
      <c r="A5" s="57"/>
      <c r="B5" s="57"/>
      <c r="C5" s="57"/>
      <c r="D5" s="57"/>
      <c r="E5" s="57"/>
    </row>
    <row r="6" spans="1:5" ht="406.5" customHeight="1" x14ac:dyDescent="0.2">
      <c r="A6" s="57"/>
      <c r="B6" s="57"/>
      <c r="C6" s="57"/>
      <c r="D6" s="57"/>
      <c r="E6" s="57"/>
    </row>
    <row r="7" spans="1:5" ht="405.75" customHeight="1" x14ac:dyDescent="0.2">
      <c r="A7" s="57"/>
      <c r="B7" s="57"/>
      <c r="C7" s="57"/>
      <c r="D7" s="57"/>
      <c r="E7" s="57"/>
    </row>
    <row r="8" spans="1:5" ht="405.75" customHeight="1" x14ac:dyDescent="0.2">
      <c r="A8" s="57"/>
      <c r="B8" s="57"/>
      <c r="C8" s="57"/>
      <c r="D8" s="57"/>
      <c r="E8" s="57"/>
    </row>
    <row r="9" spans="1:5" ht="402.75" customHeight="1" x14ac:dyDescent="0.2">
      <c r="A9" s="57"/>
      <c r="B9" s="57"/>
      <c r="C9" s="57"/>
      <c r="D9" s="57"/>
      <c r="E9" s="57"/>
    </row>
    <row r="10" spans="1:5" ht="409.5" customHeight="1" x14ac:dyDescent="0.2">
      <c r="A10" s="57"/>
      <c r="B10" s="57"/>
      <c r="C10" s="57"/>
      <c r="D10" s="57"/>
      <c r="E10" s="57"/>
    </row>
    <row r="11" spans="1:5" ht="408.75" customHeight="1" x14ac:dyDescent="0.2">
      <c r="A11" s="57"/>
      <c r="B11" s="57"/>
      <c r="C11" s="57"/>
      <c r="D11" s="57"/>
      <c r="E11" s="57"/>
    </row>
  </sheetData>
  <mergeCells count="5">
    <mergeCell ref="A3:A11"/>
    <mergeCell ref="B3:B11"/>
    <mergeCell ref="C3:C11"/>
    <mergeCell ref="D3:D11"/>
    <mergeCell ref="E3:E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38FFB-D836-46F8-9EB1-D523020D3CEE}">
  <sheetPr>
    <tabColor theme="5" tint="0.79998168889431442"/>
  </sheetPr>
  <dimension ref="A1:AH29"/>
  <sheetViews>
    <sheetView topLeftCell="J1" workbookViewId="0">
      <selection activeCell="AH27" sqref="AH27"/>
    </sheetView>
  </sheetViews>
  <sheetFormatPr baseColWidth="10" defaultColWidth="8.83203125" defaultRowHeight="15" x14ac:dyDescent="0.2"/>
  <cols>
    <col min="1" max="1" width="11.33203125" customWidth="1"/>
    <col min="2" max="2" width="10.6640625" customWidth="1"/>
    <col min="32" max="32" width="10.1640625" customWidth="1"/>
    <col min="34" max="34" width="11" customWidth="1"/>
  </cols>
  <sheetData>
    <row r="1" spans="1:34" x14ac:dyDescent="0.2">
      <c r="A1" s="6" t="s">
        <v>56</v>
      </c>
      <c r="B1" s="49" t="s">
        <v>57</v>
      </c>
      <c r="C1" s="49"/>
      <c r="D1" s="49"/>
      <c r="E1" s="49"/>
      <c r="F1" s="49"/>
      <c r="G1" s="50"/>
      <c r="H1" s="49" t="s">
        <v>58</v>
      </c>
      <c r="I1" s="49"/>
      <c r="J1" s="49"/>
      <c r="K1" s="49"/>
      <c r="L1" s="49"/>
      <c r="M1" s="50"/>
      <c r="N1" s="49" t="s">
        <v>59</v>
      </c>
      <c r="O1" s="49"/>
      <c r="P1" s="49"/>
      <c r="Q1" s="49"/>
      <c r="R1" s="49"/>
      <c r="S1" s="50"/>
      <c r="T1" s="49" t="s">
        <v>60</v>
      </c>
      <c r="U1" s="49"/>
      <c r="V1" s="49"/>
      <c r="W1" s="49"/>
      <c r="X1" s="49"/>
      <c r="Y1" s="50"/>
      <c r="Z1" s="49" t="s">
        <v>61</v>
      </c>
      <c r="AA1" s="49"/>
      <c r="AB1" s="49"/>
      <c r="AC1" s="49"/>
      <c r="AD1" s="49"/>
      <c r="AE1" s="49"/>
      <c r="AF1" s="46" t="s">
        <v>62</v>
      </c>
      <c r="AG1" s="47"/>
      <c r="AH1" s="48"/>
    </row>
    <row r="2" spans="1:34" x14ac:dyDescent="0.2">
      <c r="A2" s="6" t="s">
        <v>63</v>
      </c>
      <c r="B2" s="8" t="s">
        <v>22</v>
      </c>
      <c r="C2" s="8" t="s">
        <v>23</v>
      </c>
      <c r="D2" s="8" t="s">
        <v>64</v>
      </c>
      <c r="E2" s="8" t="s">
        <v>25</v>
      </c>
      <c r="F2" s="8" t="s">
        <v>26</v>
      </c>
      <c r="G2" s="9" t="s">
        <v>65</v>
      </c>
      <c r="H2" s="8" t="s">
        <v>22</v>
      </c>
      <c r="I2" s="8" t="s">
        <v>23</v>
      </c>
      <c r="J2" s="8" t="s">
        <v>64</v>
      </c>
      <c r="K2" s="8" t="s">
        <v>25</v>
      </c>
      <c r="L2" s="8" t="s">
        <v>26</v>
      </c>
      <c r="M2" s="9" t="s">
        <v>65</v>
      </c>
      <c r="N2" s="8" t="s">
        <v>22</v>
      </c>
      <c r="O2" s="8" t="s">
        <v>23</v>
      </c>
      <c r="P2" s="8" t="s">
        <v>64</v>
      </c>
      <c r="Q2" s="8" t="s">
        <v>25</v>
      </c>
      <c r="R2" s="8" t="s">
        <v>26</v>
      </c>
      <c r="S2" s="9" t="s">
        <v>65</v>
      </c>
      <c r="T2" s="8" t="s">
        <v>22</v>
      </c>
      <c r="U2" s="8" t="s">
        <v>23</v>
      </c>
      <c r="V2" s="8" t="s">
        <v>64</v>
      </c>
      <c r="W2" s="8" t="s">
        <v>25</v>
      </c>
      <c r="X2" s="8" t="s">
        <v>26</v>
      </c>
      <c r="Y2" s="9" t="s">
        <v>65</v>
      </c>
      <c r="Z2" s="8" t="s">
        <v>22</v>
      </c>
      <c r="AA2" s="8" t="s">
        <v>23</v>
      </c>
      <c r="AB2" s="8" t="s">
        <v>64</v>
      </c>
      <c r="AC2" s="8" t="s">
        <v>25</v>
      </c>
      <c r="AD2" s="8" t="s">
        <v>26</v>
      </c>
      <c r="AE2" s="8" t="s">
        <v>65</v>
      </c>
      <c r="AF2" s="43" t="s">
        <v>65</v>
      </c>
      <c r="AG2" s="44" t="s">
        <v>66</v>
      </c>
      <c r="AH2" s="45" t="s">
        <v>67</v>
      </c>
    </row>
    <row r="3" spans="1:34" x14ac:dyDescent="0.2">
      <c r="A3" s="7" t="s">
        <v>68</v>
      </c>
      <c r="B3" s="24">
        <v>1.5</v>
      </c>
      <c r="C3" s="25">
        <v>1</v>
      </c>
      <c r="D3" s="25">
        <v>2</v>
      </c>
      <c r="E3" s="25">
        <v>2</v>
      </c>
      <c r="F3" s="25">
        <v>1.5</v>
      </c>
      <c r="G3" s="30">
        <f>AVERAGE(B3:F3)</f>
        <v>1.6</v>
      </c>
      <c r="H3" s="24">
        <v>0</v>
      </c>
      <c r="I3" s="25">
        <v>0</v>
      </c>
      <c r="J3" s="25">
        <v>1</v>
      </c>
      <c r="K3" s="25">
        <v>1</v>
      </c>
      <c r="L3" s="25">
        <v>1</v>
      </c>
      <c r="M3" s="30">
        <f>AVERAGE(H3:L3)</f>
        <v>0.6</v>
      </c>
      <c r="N3" s="24">
        <v>2</v>
      </c>
      <c r="O3" s="25">
        <v>2</v>
      </c>
      <c r="P3" s="25">
        <v>1</v>
      </c>
      <c r="Q3" s="25">
        <v>2</v>
      </c>
      <c r="R3" s="25">
        <v>2</v>
      </c>
      <c r="S3" s="30">
        <f>AVERAGE(N3:R3)</f>
        <v>1.8</v>
      </c>
      <c r="T3" s="32">
        <v>1</v>
      </c>
      <c r="U3" s="10">
        <v>1</v>
      </c>
      <c r="V3" s="10">
        <v>1</v>
      </c>
      <c r="W3" s="10">
        <v>1</v>
      </c>
      <c r="X3" s="10">
        <v>1</v>
      </c>
      <c r="Y3" s="10">
        <f>AVERAGE(T3:X3)</f>
        <v>1</v>
      </c>
      <c r="Z3" s="24">
        <v>1</v>
      </c>
      <c r="AA3" s="25">
        <v>1</v>
      </c>
      <c r="AB3" s="25">
        <v>1</v>
      </c>
      <c r="AC3" s="25">
        <v>0.5</v>
      </c>
      <c r="AD3" s="25">
        <v>1</v>
      </c>
      <c r="AE3" s="30">
        <f>AVERAGE(Z3:AD3)</f>
        <v>0.9</v>
      </c>
      <c r="AF3" s="35">
        <v>3.7</v>
      </c>
      <c r="AG3" s="36">
        <v>3.66</v>
      </c>
      <c r="AH3" s="37">
        <v>3.83</v>
      </c>
    </row>
    <row r="4" spans="1:34" x14ac:dyDescent="0.2">
      <c r="A4" s="7" t="s">
        <v>69</v>
      </c>
      <c r="B4" s="26">
        <v>4.5</v>
      </c>
      <c r="C4" s="21">
        <v>6</v>
      </c>
      <c r="D4" s="21">
        <v>6</v>
      </c>
      <c r="E4" s="21">
        <v>5.5</v>
      </c>
      <c r="F4" s="21">
        <v>4.5</v>
      </c>
      <c r="G4" s="22">
        <f t="shared" ref="G4:G21" si="0">AVERAGE(B4:F4)</f>
        <v>5.3</v>
      </c>
      <c r="H4" s="26">
        <v>3</v>
      </c>
      <c r="I4" s="21">
        <v>3</v>
      </c>
      <c r="J4" s="21">
        <v>4</v>
      </c>
      <c r="K4" s="21">
        <v>3</v>
      </c>
      <c r="L4" s="21">
        <v>4</v>
      </c>
      <c r="M4" s="22">
        <f t="shared" ref="M4:M21" si="1">AVERAGE(H4:L4)</f>
        <v>3.4</v>
      </c>
      <c r="N4" s="26">
        <v>3</v>
      </c>
      <c r="O4" s="21">
        <v>4</v>
      </c>
      <c r="P4" s="21">
        <v>3</v>
      </c>
      <c r="Q4" s="21">
        <v>4</v>
      </c>
      <c r="R4" s="21">
        <v>4</v>
      </c>
      <c r="S4" s="22">
        <f t="shared" ref="S4:S21" si="2">AVERAGE(N4:R4)</f>
        <v>3.6</v>
      </c>
      <c r="T4" s="33">
        <v>3</v>
      </c>
      <c r="U4" s="23">
        <v>4</v>
      </c>
      <c r="V4" s="23">
        <v>3</v>
      </c>
      <c r="W4" s="23">
        <v>3</v>
      </c>
      <c r="X4" s="23">
        <v>3</v>
      </c>
      <c r="Y4" s="23">
        <f t="shared" ref="Y4:Y21" si="3">AVERAGE(T4:X4)</f>
        <v>3.2</v>
      </c>
      <c r="Z4" s="26">
        <v>7</v>
      </c>
      <c r="AA4" s="21">
        <v>6</v>
      </c>
      <c r="AB4" s="21">
        <v>6</v>
      </c>
      <c r="AC4" s="21">
        <v>4</v>
      </c>
      <c r="AD4" s="21">
        <v>6</v>
      </c>
      <c r="AE4" s="22">
        <f t="shared" ref="AE4:AE21" si="4">AVERAGE(Z4:AD4)</f>
        <v>5.8</v>
      </c>
      <c r="AF4" s="35">
        <v>5.5</v>
      </c>
      <c r="AG4" s="36">
        <v>6.22</v>
      </c>
      <c r="AH4" s="37">
        <v>4.33</v>
      </c>
    </row>
    <row r="5" spans="1:34" x14ac:dyDescent="0.2">
      <c r="A5" s="7" t="s">
        <v>70</v>
      </c>
      <c r="B5" s="26">
        <v>2</v>
      </c>
      <c r="C5" s="21">
        <v>3</v>
      </c>
      <c r="D5" s="21">
        <v>3</v>
      </c>
      <c r="E5" s="21">
        <v>3</v>
      </c>
      <c r="F5" s="21">
        <v>2</v>
      </c>
      <c r="G5" s="22">
        <f t="shared" si="0"/>
        <v>2.6</v>
      </c>
      <c r="H5" s="26">
        <v>1</v>
      </c>
      <c r="I5" s="21">
        <v>1</v>
      </c>
      <c r="J5" s="21">
        <v>2</v>
      </c>
      <c r="K5" s="21">
        <v>2</v>
      </c>
      <c r="L5" s="21">
        <v>2</v>
      </c>
      <c r="M5" s="22">
        <f t="shared" si="1"/>
        <v>1.6</v>
      </c>
      <c r="N5" s="26">
        <v>1</v>
      </c>
      <c r="O5" s="21">
        <v>1</v>
      </c>
      <c r="P5" s="21">
        <v>2</v>
      </c>
      <c r="Q5" s="21">
        <v>3</v>
      </c>
      <c r="R5" s="21">
        <v>2</v>
      </c>
      <c r="S5" s="22">
        <f t="shared" si="2"/>
        <v>1.8</v>
      </c>
      <c r="T5" s="33">
        <v>2</v>
      </c>
      <c r="U5" s="23">
        <v>2</v>
      </c>
      <c r="V5" s="23">
        <v>2</v>
      </c>
      <c r="W5" s="23">
        <v>2</v>
      </c>
      <c r="X5" s="23">
        <v>2</v>
      </c>
      <c r="Y5" s="23">
        <f t="shared" si="3"/>
        <v>2</v>
      </c>
      <c r="Z5" s="26">
        <v>2</v>
      </c>
      <c r="AA5" s="21">
        <v>1</v>
      </c>
      <c r="AB5" s="21">
        <v>2</v>
      </c>
      <c r="AC5" s="21">
        <v>1</v>
      </c>
      <c r="AD5" s="21">
        <v>2</v>
      </c>
      <c r="AE5" s="22">
        <f t="shared" si="4"/>
        <v>1.6</v>
      </c>
      <c r="AF5" s="35">
        <v>3.4</v>
      </c>
      <c r="AG5" s="36">
        <v>3.63</v>
      </c>
      <c r="AH5" s="37">
        <v>3.11</v>
      </c>
    </row>
    <row r="6" spans="1:34" x14ac:dyDescent="0.2">
      <c r="A6" s="7" t="s">
        <v>71</v>
      </c>
      <c r="B6" s="26">
        <v>2</v>
      </c>
      <c r="C6" s="21">
        <v>2</v>
      </c>
      <c r="D6" s="21">
        <v>3</v>
      </c>
      <c r="E6" s="21">
        <v>2.5</v>
      </c>
      <c r="F6" s="21">
        <v>1.5</v>
      </c>
      <c r="G6" s="22">
        <f t="shared" si="0"/>
        <v>2.2000000000000002</v>
      </c>
      <c r="H6" s="26">
        <v>0</v>
      </c>
      <c r="I6" s="21">
        <v>0</v>
      </c>
      <c r="J6" s="21">
        <v>1</v>
      </c>
      <c r="K6" s="21">
        <v>1</v>
      </c>
      <c r="L6" s="21">
        <v>1</v>
      </c>
      <c r="M6" s="22">
        <f t="shared" si="1"/>
        <v>0.6</v>
      </c>
      <c r="N6" s="26">
        <v>2</v>
      </c>
      <c r="O6" s="21">
        <v>1</v>
      </c>
      <c r="P6" s="21">
        <v>2</v>
      </c>
      <c r="Q6" s="21">
        <v>2</v>
      </c>
      <c r="R6" s="21">
        <v>1</v>
      </c>
      <c r="S6" s="22">
        <f t="shared" si="2"/>
        <v>1.6</v>
      </c>
      <c r="T6" s="33">
        <v>1</v>
      </c>
      <c r="U6" s="23">
        <v>1</v>
      </c>
      <c r="V6" s="23">
        <v>1</v>
      </c>
      <c r="W6" s="23">
        <v>1</v>
      </c>
      <c r="X6" s="23">
        <v>1</v>
      </c>
      <c r="Y6" s="23">
        <f t="shared" si="3"/>
        <v>1</v>
      </c>
      <c r="Z6" s="26">
        <v>1</v>
      </c>
      <c r="AA6" s="21">
        <v>1</v>
      </c>
      <c r="AB6" s="21">
        <v>1</v>
      </c>
      <c r="AC6" s="21">
        <v>1</v>
      </c>
      <c r="AD6" s="21">
        <v>1</v>
      </c>
      <c r="AE6" s="22">
        <f t="shared" si="4"/>
        <v>1</v>
      </c>
      <c r="AF6" s="35">
        <v>3.7</v>
      </c>
      <c r="AG6" s="36">
        <v>3.97</v>
      </c>
      <c r="AH6" s="37">
        <v>3.22</v>
      </c>
    </row>
    <row r="7" spans="1:34" x14ac:dyDescent="0.2">
      <c r="A7" s="7" t="s">
        <v>72</v>
      </c>
      <c r="B7" s="26">
        <v>1.5</v>
      </c>
      <c r="C7" s="21">
        <v>2</v>
      </c>
      <c r="D7" s="21">
        <v>3</v>
      </c>
      <c r="E7" s="21">
        <v>2</v>
      </c>
      <c r="F7" s="21">
        <v>1.5</v>
      </c>
      <c r="G7" s="22">
        <f t="shared" si="0"/>
        <v>2</v>
      </c>
      <c r="H7" s="26">
        <v>0</v>
      </c>
      <c r="I7" s="21">
        <v>0</v>
      </c>
      <c r="J7" s="21">
        <v>1</v>
      </c>
      <c r="K7" s="21">
        <v>1</v>
      </c>
      <c r="L7" s="21">
        <v>1</v>
      </c>
      <c r="M7" s="22">
        <f t="shared" si="1"/>
        <v>0.6</v>
      </c>
      <c r="N7" s="26">
        <v>2</v>
      </c>
      <c r="O7" s="21">
        <v>1</v>
      </c>
      <c r="P7" s="21">
        <v>1</v>
      </c>
      <c r="Q7" s="21">
        <v>2</v>
      </c>
      <c r="R7" s="21">
        <v>1</v>
      </c>
      <c r="S7" s="22">
        <f t="shared" si="2"/>
        <v>1.4</v>
      </c>
      <c r="T7" s="33">
        <v>1</v>
      </c>
      <c r="U7" s="23">
        <v>1</v>
      </c>
      <c r="V7" s="23">
        <v>1</v>
      </c>
      <c r="W7" s="23">
        <v>1</v>
      </c>
      <c r="X7" s="23">
        <v>1</v>
      </c>
      <c r="Y7" s="23">
        <f t="shared" si="3"/>
        <v>1</v>
      </c>
      <c r="Z7" s="26">
        <v>1</v>
      </c>
      <c r="AA7" s="21">
        <v>0</v>
      </c>
      <c r="AB7" s="21">
        <v>0</v>
      </c>
      <c r="AC7" s="21">
        <v>0.5</v>
      </c>
      <c r="AD7" s="21">
        <v>1</v>
      </c>
      <c r="AE7" s="22">
        <f t="shared" si="4"/>
        <v>0.5</v>
      </c>
      <c r="AF7" s="35">
        <v>2.9</v>
      </c>
      <c r="AG7" s="36">
        <v>2.84</v>
      </c>
      <c r="AH7" s="37">
        <v>2.89</v>
      </c>
    </row>
    <row r="8" spans="1:34" x14ac:dyDescent="0.2">
      <c r="A8" s="7" t="s">
        <v>73</v>
      </c>
      <c r="B8" s="26">
        <v>2</v>
      </c>
      <c r="C8" s="21">
        <v>5</v>
      </c>
      <c r="D8" s="21">
        <v>4</v>
      </c>
      <c r="E8" s="21">
        <v>2</v>
      </c>
      <c r="F8" s="21">
        <v>1.5</v>
      </c>
      <c r="G8" s="22">
        <f t="shared" si="0"/>
        <v>2.9</v>
      </c>
      <c r="H8" s="26">
        <v>1</v>
      </c>
      <c r="I8" s="21">
        <v>1</v>
      </c>
      <c r="J8" s="21">
        <v>2</v>
      </c>
      <c r="K8" s="21">
        <v>1</v>
      </c>
      <c r="L8" s="21">
        <v>1</v>
      </c>
      <c r="M8" s="22">
        <f t="shared" si="1"/>
        <v>1.2</v>
      </c>
      <c r="N8" s="26">
        <v>2</v>
      </c>
      <c r="O8" s="21">
        <v>1</v>
      </c>
      <c r="P8" s="21">
        <v>2</v>
      </c>
      <c r="Q8" s="21">
        <v>2</v>
      </c>
      <c r="R8" s="21">
        <v>1</v>
      </c>
      <c r="S8" s="22">
        <f t="shared" si="2"/>
        <v>1.6</v>
      </c>
      <c r="T8" s="33">
        <v>2</v>
      </c>
      <c r="U8" s="23">
        <v>2</v>
      </c>
      <c r="V8" s="23">
        <v>1</v>
      </c>
      <c r="W8" s="23">
        <v>1</v>
      </c>
      <c r="X8" s="23">
        <v>2</v>
      </c>
      <c r="Y8" s="23">
        <f t="shared" si="3"/>
        <v>1.6</v>
      </c>
      <c r="Z8" s="26">
        <v>1</v>
      </c>
      <c r="AA8" s="21">
        <v>0</v>
      </c>
      <c r="AB8" s="21">
        <v>1</v>
      </c>
      <c r="AC8" s="21">
        <v>1</v>
      </c>
      <c r="AD8" s="21">
        <v>1</v>
      </c>
      <c r="AE8" s="22">
        <f t="shared" si="4"/>
        <v>0.8</v>
      </c>
      <c r="AF8" s="35">
        <v>3.1</v>
      </c>
      <c r="AG8" s="36">
        <v>3.47</v>
      </c>
      <c r="AH8" s="37">
        <v>2.56</v>
      </c>
    </row>
    <row r="9" spans="1:34" x14ac:dyDescent="0.2">
      <c r="A9" s="7" t="s">
        <v>74</v>
      </c>
      <c r="B9" s="26">
        <v>4</v>
      </c>
      <c r="C9" s="21">
        <v>6</v>
      </c>
      <c r="D9" s="21">
        <v>5</v>
      </c>
      <c r="E9" s="21">
        <v>4.5</v>
      </c>
      <c r="F9" s="21">
        <v>3.5</v>
      </c>
      <c r="G9" s="22">
        <f t="shared" si="0"/>
        <v>4.5999999999999996</v>
      </c>
      <c r="H9" s="26">
        <v>2</v>
      </c>
      <c r="I9" s="21">
        <v>2</v>
      </c>
      <c r="J9" s="21">
        <v>3</v>
      </c>
      <c r="K9" s="21">
        <v>2</v>
      </c>
      <c r="L9" s="21">
        <v>3</v>
      </c>
      <c r="M9" s="22">
        <f t="shared" si="1"/>
        <v>2.4</v>
      </c>
      <c r="N9" s="26">
        <v>2</v>
      </c>
      <c r="O9" s="21">
        <v>2</v>
      </c>
      <c r="P9" s="21">
        <v>2</v>
      </c>
      <c r="Q9" s="21">
        <v>2</v>
      </c>
      <c r="R9" s="21">
        <v>1</v>
      </c>
      <c r="S9" s="22">
        <f t="shared" si="2"/>
        <v>1.8</v>
      </c>
      <c r="T9" s="33">
        <v>2</v>
      </c>
      <c r="U9" s="23">
        <v>2</v>
      </c>
      <c r="V9" s="23">
        <v>2</v>
      </c>
      <c r="W9" s="23">
        <v>2</v>
      </c>
      <c r="X9" s="23">
        <v>2</v>
      </c>
      <c r="Y9" s="23">
        <f t="shared" si="3"/>
        <v>2</v>
      </c>
      <c r="Z9" s="26">
        <v>2</v>
      </c>
      <c r="AA9" s="21">
        <v>2</v>
      </c>
      <c r="AB9" s="21">
        <v>2</v>
      </c>
      <c r="AC9" s="21">
        <v>1.5</v>
      </c>
      <c r="AD9" s="21">
        <v>3</v>
      </c>
      <c r="AE9" s="22">
        <f t="shared" si="4"/>
        <v>2.1</v>
      </c>
      <c r="AF9" s="35">
        <v>4.5</v>
      </c>
      <c r="AG9" s="36">
        <v>5.16</v>
      </c>
      <c r="AH9" s="37">
        <v>3.39</v>
      </c>
    </row>
    <row r="10" spans="1:34" x14ac:dyDescent="0.2">
      <c r="A10" s="7" t="s">
        <v>75</v>
      </c>
      <c r="B10" s="26">
        <v>2.5</v>
      </c>
      <c r="C10" s="21">
        <v>2</v>
      </c>
      <c r="D10" s="21">
        <v>2</v>
      </c>
      <c r="E10" s="21">
        <v>3</v>
      </c>
      <c r="F10" s="21">
        <v>2</v>
      </c>
      <c r="G10" s="22">
        <f t="shared" si="0"/>
        <v>2.2999999999999998</v>
      </c>
      <c r="H10" s="26">
        <v>0</v>
      </c>
      <c r="I10" s="21">
        <v>0</v>
      </c>
      <c r="J10" s="21">
        <v>1</v>
      </c>
      <c r="K10" s="21">
        <v>1</v>
      </c>
      <c r="L10" s="21">
        <v>1</v>
      </c>
      <c r="M10" s="22">
        <f t="shared" si="1"/>
        <v>0.6</v>
      </c>
      <c r="N10" s="26">
        <v>1</v>
      </c>
      <c r="O10" s="21">
        <v>1</v>
      </c>
      <c r="P10" s="21">
        <v>1</v>
      </c>
      <c r="Q10" s="21">
        <v>2</v>
      </c>
      <c r="R10" s="21">
        <v>1</v>
      </c>
      <c r="S10" s="22">
        <f t="shared" si="2"/>
        <v>1.2</v>
      </c>
      <c r="T10" s="33">
        <v>1</v>
      </c>
      <c r="U10" s="23">
        <v>1</v>
      </c>
      <c r="V10" s="23">
        <v>1</v>
      </c>
      <c r="W10" s="23">
        <v>1</v>
      </c>
      <c r="X10" s="23">
        <v>1</v>
      </c>
      <c r="Y10" s="23">
        <f t="shared" si="3"/>
        <v>1</v>
      </c>
      <c r="Z10" s="26">
        <v>1</v>
      </c>
      <c r="AA10" s="21">
        <v>1</v>
      </c>
      <c r="AB10" s="21">
        <v>1</v>
      </c>
      <c r="AC10" s="21">
        <v>1</v>
      </c>
      <c r="AD10" s="21">
        <v>1</v>
      </c>
      <c r="AE10" s="22">
        <f t="shared" si="4"/>
        <v>1</v>
      </c>
      <c r="AF10" s="35">
        <v>3</v>
      </c>
      <c r="AG10" s="36">
        <v>3.25</v>
      </c>
      <c r="AH10" s="37">
        <v>2.67</v>
      </c>
    </row>
    <row r="11" spans="1:34" x14ac:dyDescent="0.2">
      <c r="A11" s="7" t="s">
        <v>76</v>
      </c>
      <c r="B11" s="26">
        <v>2</v>
      </c>
      <c r="C11" s="21">
        <v>4</v>
      </c>
      <c r="D11" s="21">
        <v>2</v>
      </c>
      <c r="E11" s="21">
        <v>2</v>
      </c>
      <c r="F11" s="21">
        <v>1.5</v>
      </c>
      <c r="G11" s="22">
        <f t="shared" si="0"/>
        <v>2.2999999999999998</v>
      </c>
      <c r="H11" s="26">
        <v>1</v>
      </c>
      <c r="I11" s="21">
        <v>1</v>
      </c>
      <c r="J11" s="21">
        <v>1</v>
      </c>
      <c r="K11" s="21">
        <v>1</v>
      </c>
      <c r="L11" s="21">
        <v>1</v>
      </c>
      <c r="M11" s="22">
        <f t="shared" si="1"/>
        <v>1</v>
      </c>
      <c r="N11" s="26">
        <v>2</v>
      </c>
      <c r="O11" s="21">
        <v>1</v>
      </c>
      <c r="P11" s="21">
        <v>2</v>
      </c>
      <c r="Q11" s="21">
        <v>3</v>
      </c>
      <c r="R11" s="21">
        <v>1</v>
      </c>
      <c r="S11" s="22">
        <f t="shared" si="2"/>
        <v>1.8</v>
      </c>
      <c r="T11" s="33">
        <v>2</v>
      </c>
      <c r="U11" s="23">
        <v>1</v>
      </c>
      <c r="V11" s="23">
        <v>1</v>
      </c>
      <c r="W11" s="23">
        <v>1</v>
      </c>
      <c r="X11" s="23">
        <v>1</v>
      </c>
      <c r="Y11" s="23">
        <f t="shared" si="3"/>
        <v>1.2</v>
      </c>
      <c r="Z11" s="26">
        <v>1</v>
      </c>
      <c r="AA11" s="21">
        <v>1</v>
      </c>
      <c r="AB11" s="21">
        <v>1</v>
      </c>
      <c r="AC11" s="21">
        <v>1</v>
      </c>
      <c r="AD11" s="21">
        <v>1</v>
      </c>
      <c r="AE11" s="22">
        <f t="shared" si="4"/>
        <v>1</v>
      </c>
      <c r="AF11" s="35">
        <v>3.6</v>
      </c>
      <c r="AG11" s="36">
        <v>4</v>
      </c>
      <c r="AH11" s="37">
        <v>2.89</v>
      </c>
    </row>
    <row r="12" spans="1:34" x14ac:dyDescent="0.2">
      <c r="A12" s="7" t="s">
        <v>77</v>
      </c>
      <c r="B12" s="26">
        <v>2.5</v>
      </c>
      <c r="C12" s="21">
        <v>3</v>
      </c>
      <c r="D12" s="21">
        <v>2</v>
      </c>
      <c r="E12" s="21">
        <v>2</v>
      </c>
      <c r="F12" s="21">
        <v>2</v>
      </c>
      <c r="G12" s="22">
        <f t="shared" si="0"/>
        <v>2.2999999999999998</v>
      </c>
      <c r="H12" s="26">
        <v>0</v>
      </c>
      <c r="I12" s="21">
        <v>1</v>
      </c>
      <c r="J12" s="21">
        <v>1</v>
      </c>
      <c r="K12" s="21">
        <v>1</v>
      </c>
      <c r="L12" s="21">
        <v>1</v>
      </c>
      <c r="M12" s="22">
        <f t="shared" si="1"/>
        <v>0.8</v>
      </c>
      <c r="N12" s="26">
        <v>2</v>
      </c>
      <c r="O12" s="21">
        <v>1</v>
      </c>
      <c r="P12" s="21">
        <v>1</v>
      </c>
      <c r="Q12" s="21">
        <v>2</v>
      </c>
      <c r="R12" s="21">
        <v>1</v>
      </c>
      <c r="S12" s="22">
        <f t="shared" si="2"/>
        <v>1.4</v>
      </c>
      <c r="T12" s="33">
        <v>1</v>
      </c>
      <c r="U12" s="23">
        <v>1</v>
      </c>
      <c r="V12" s="23">
        <v>1</v>
      </c>
      <c r="W12" s="23">
        <v>1</v>
      </c>
      <c r="X12" s="23">
        <v>1</v>
      </c>
      <c r="Y12" s="23">
        <f t="shared" si="3"/>
        <v>1</v>
      </c>
      <c r="Z12" s="26">
        <v>1</v>
      </c>
      <c r="AA12" s="21">
        <v>1</v>
      </c>
      <c r="AB12" s="21">
        <v>1</v>
      </c>
      <c r="AC12" s="21">
        <v>1</v>
      </c>
      <c r="AD12" s="21">
        <v>1</v>
      </c>
      <c r="AE12" s="22">
        <f t="shared" si="4"/>
        <v>1</v>
      </c>
      <c r="AF12" s="35">
        <v>3.5</v>
      </c>
      <c r="AG12" s="36">
        <v>3.88</v>
      </c>
      <c r="AH12" s="37">
        <v>2.94</v>
      </c>
    </row>
    <row r="13" spans="1:34" x14ac:dyDescent="0.2">
      <c r="A13" s="7" t="s">
        <v>78</v>
      </c>
      <c r="B13" s="26">
        <v>3</v>
      </c>
      <c r="C13" s="21">
        <v>5</v>
      </c>
      <c r="D13" s="21">
        <v>4</v>
      </c>
      <c r="E13" s="21">
        <v>3</v>
      </c>
      <c r="F13" s="21">
        <v>3</v>
      </c>
      <c r="G13" s="22">
        <f t="shared" si="0"/>
        <v>3.6</v>
      </c>
      <c r="H13" s="26">
        <v>1</v>
      </c>
      <c r="I13" s="21">
        <v>2</v>
      </c>
      <c r="J13" s="21">
        <v>2</v>
      </c>
      <c r="K13" s="21">
        <v>2</v>
      </c>
      <c r="L13" s="21">
        <v>2</v>
      </c>
      <c r="M13" s="22">
        <f t="shared" si="1"/>
        <v>1.8</v>
      </c>
      <c r="N13" s="26">
        <v>2</v>
      </c>
      <c r="O13" s="21">
        <v>2</v>
      </c>
      <c r="P13" s="21">
        <v>2</v>
      </c>
      <c r="Q13" s="21">
        <v>3</v>
      </c>
      <c r="R13" s="21">
        <v>2</v>
      </c>
      <c r="S13" s="22">
        <f t="shared" si="2"/>
        <v>2.2000000000000002</v>
      </c>
      <c r="T13" s="33">
        <v>3</v>
      </c>
      <c r="U13" s="23">
        <v>3</v>
      </c>
      <c r="V13" s="23">
        <v>3</v>
      </c>
      <c r="W13" s="23">
        <v>2</v>
      </c>
      <c r="X13" s="23">
        <v>2</v>
      </c>
      <c r="Y13" s="23">
        <f t="shared" si="3"/>
        <v>2.6</v>
      </c>
      <c r="Z13" s="26">
        <v>2</v>
      </c>
      <c r="AA13" s="21">
        <v>2</v>
      </c>
      <c r="AB13" s="21">
        <v>3</v>
      </c>
      <c r="AC13" s="21">
        <v>2</v>
      </c>
      <c r="AD13" s="21">
        <v>2</v>
      </c>
      <c r="AE13" s="22">
        <f t="shared" si="4"/>
        <v>2.2000000000000002</v>
      </c>
      <c r="AF13" s="35">
        <v>3.8</v>
      </c>
      <c r="AG13" s="36">
        <v>4.09</v>
      </c>
      <c r="AH13" s="37">
        <v>3.17</v>
      </c>
    </row>
    <row r="14" spans="1:34" x14ac:dyDescent="0.2">
      <c r="A14" s="7" t="s">
        <v>79</v>
      </c>
      <c r="B14" s="26">
        <v>2</v>
      </c>
      <c r="C14" s="21">
        <v>3</v>
      </c>
      <c r="D14" s="21">
        <v>3</v>
      </c>
      <c r="E14" s="21">
        <v>3</v>
      </c>
      <c r="F14" s="21">
        <v>2</v>
      </c>
      <c r="G14" s="22">
        <f t="shared" si="0"/>
        <v>2.6</v>
      </c>
      <c r="H14" s="26">
        <v>1</v>
      </c>
      <c r="I14" s="21">
        <v>1</v>
      </c>
      <c r="J14" s="21">
        <v>2</v>
      </c>
      <c r="K14" s="21">
        <v>2</v>
      </c>
      <c r="L14" s="21">
        <v>2</v>
      </c>
      <c r="M14" s="22">
        <f t="shared" si="1"/>
        <v>1.6</v>
      </c>
      <c r="N14" s="26">
        <v>2</v>
      </c>
      <c r="O14" s="21">
        <v>1</v>
      </c>
      <c r="P14" s="21">
        <v>2</v>
      </c>
      <c r="Q14" s="21">
        <v>2</v>
      </c>
      <c r="R14" s="21">
        <v>1</v>
      </c>
      <c r="S14" s="22">
        <f t="shared" si="2"/>
        <v>1.6</v>
      </c>
      <c r="T14" s="33">
        <v>2</v>
      </c>
      <c r="U14" s="23">
        <v>2</v>
      </c>
      <c r="V14" s="23">
        <v>2</v>
      </c>
      <c r="W14" s="23">
        <v>1</v>
      </c>
      <c r="X14" s="23">
        <v>2</v>
      </c>
      <c r="Y14" s="23">
        <f t="shared" si="3"/>
        <v>1.8</v>
      </c>
      <c r="Z14" s="26">
        <v>2</v>
      </c>
      <c r="AA14" s="21">
        <v>1</v>
      </c>
      <c r="AB14" s="21">
        <v>2</v>
      </c>
      <c r="AC14" s="21">
        <v>1.5</v>
      </c>
      <c r="AD14" s="21">
        <v>1</v>
      </c>
      <c r="AE14" s="22">
        <f t="shared" si="4"/>
        <v>1.5</v>
      </c>
      <c r="AF14" s="35">
        <v>3.4</v>
      </c>
      <c r="AG14" s="36">
        <v>3.53</v>
      </c>
      <c r="AH14" s="37">
        <v>3.06</v>
      </c>
    </row>
    <row r="15" spans="1:34" x14ac:dyDescent="0.2">
      <c r="A15" s="7" t="s">
        <v>80</v>
      </c>
      <c r="B15" s="26">
        <v>2.5</v>
      </c>
      <c r="C15" s="21">
        <v>2</v>
      </c>
      <c r="D15" s="21">
        <v>3</v>
      </c>
      <c r="E15" s="21">
        <v>2</v>
      </c>
      <c r="F15" s="21">
        <v>1.5</v>
      </c>
      <c r="G15" s="22">
        <f t="shared" si="0"/>
        <v>2.2000000000000002</v>
      </c>
      <c r="H15" s="26">
        <v>0</v>
      </c>
      <c r="I15" s="21">
        <v>1</v>
      </c>
      <c r="J15" s="21">
        <v>1</v>
      </c>
      <c r="K15" s="21">
        <v>1</v>
      </c>
      <c r="L15" s="21">
        <v>1</v>
      </c>
      <c r="M15" s="22">
        <f t="shared" si="1"/>
        <v>0.8</v>
      </c>
      <c r="N15" s="26">
        <v>1</v>
      </c>
      <c r="O15" s="21">
        <v>1</v>
      </c>
      <c r="P15" s="21">
        <v>1</v>
      </c>
      <c r="Q15" s="21">
        <v>2</v>
      </c>
      <c r="R15" s="21">
        <v>1</v>
      </c>
      <c r="S15" s="22">
        <f t="shared" si="2"/>
        <v>1.2</v>
      </c>
      <c r="T15" s="33">
        <v>1</v>
      </c>
      <c r="U15" s="23">
        <v>1</v>
      </c>
      <c r="V15" s="23">
        <v>1</v>
      </c>
      <c r="W15" s="23">
        <v>1</v>
      </c>
      <c r="X15" s="23">
        <v>1</v>
      </c>
      <c r="Y15" s="23">
        <f t="shared" si="3"/>
        <v>1</v>
      </c>
      <c r="Z15" s="26">
        <v>1</v>
      </c>
      <c r="AA15" s="21">
        <v>1</v>
      </c>
      <c r="AB15" s="21">
        <v>1</v>
      </c>
      <c r="AC15" s="21">
        <v>1</v>
      </c>
      <c r="AD15" s="21">
        <v>1</v>
      </c>
      <c r="AE15" s="22">
        <f t="shared" si="4"/>
        <v>1</v>
      </c>
      <c r="AF15" s="35">
        <v>3</v>
      </c>
      <c r="AG15" s="36">
        <v>3.13</v>
      </c>
      <c r="AH15" s="37">
        <v>2.72</v>
      </c>
    </row>
    <row r="16" spans="1:34" x14ac:dyDescent="0.2">
      <c r="A16" s="7" t="s">
        <v>81</v>
      </c>
      <c r="B16" s="26">
        <v>4</v>
      </c>
      <c r="C16" s="21">
        <v>4</v>
      </c>
      <c r="D16" s="21">
        <v>4</v>
      </c>
      <c r="E16" s="21">
        <v>4</v>
      </c>
      <c r="F16" s="21">
        <v>4</v>
      </c>
      <c r="G16" s="22">
        <f t="shared" si="0"/>
        <v>4</v>
      </c>
      <c r="H16" s="26">
        <v>3</v>
      </c>
      <c r="I16" s="21">
        <v>4</v>
      </c>
      <c r="J16" s="21">
        <v>4</v>
      </c>
      <c r="K16" s="21">
        <v>4</v>
      </c>
      <c r="L16" s="21">
        <v>4</v>
      </c>
      <c r="M16" s="22">
        <f t="shared" si="1"/>
        <v>3.8</v>
      </c>
      <c r="N16" s="26">
        <v>2</v>
      </c>
      <c r="O16" s="21">
        <v>2</v>
      </c>
      <c r="P16" s="21">
        <v>2</v>
      </c>
      <c r="Q16" s="21">
        <v>4</v>
      </c>
      <c r="R16" s="21">
        <v>2</v>
      </c>
      <c r="S16" s="22">
        <f t="shared" si="2"/>
        <v>2.4</v>
      </c>
      <c r="T16" s="33">
        <v>4</v>
      </c>
      <c r="U16" s="23">
        <v>4</v>
      </c>
      <c r="V16" s="23">
        <v>3</v>
      </c>
      <c r="W16" s="23">
        <v>4</v>
      </c>
      <c r="X16" s="23">
        <v>4</v>
      </c>
      <c r="Y16" s="23">
        <f t="shared" si="3"/>
        <v>3.8</v>
      </c>
      <c r="Z16" s="26">
        <v>3</v>
      </c>
      <c r="AA16" s="21">
        <v>3</v>
      </c>
      <c r="AB16" s="21">
        <v>5</v>
      </c>
      <c r="AC16" s="21">
        <v>3</v>
      </c>
      <c r="AD16" s="21">
        <v>4</v>
      </c>
      <c r="AE16" s="22">
        <f t="shared" si="4"/>
        <v>3.6</v>
      </c>
      <c r="AF16" s="35">
        <v>3.8</v>
      </c>
      <c r="AG16" s="36">
        <v>4.16</v>
      </c>
      <c r="AH16" s="37">
        <v>3.11</v>
      </c>
    </row>
    <row r="17" spans="1:34" x14ac:dyDescent="0.2">
      <c r="A17" s="7" t="s">
        <v>82</v>
      </c>
      <c r="B17" s="26">
        <v>3.5</v>
      </c>
      <c r="C17" s="21">
        <v>5</v>
      </c>
      <c r="D17" s="21">
        <v>3</v>
      </c>
      <c r="E17" s="21">
        <v>4</v>
      </c>
      <c r="F17" s="21">
        <v>3.5</v>
      </c>
      <c r="G17" s="22">
        <f t="shared" si="0"/>
        <v>3.8</v>
      </c>
      <c r="H17" s="26">
        <v>2</v>
      </c>
      <c r="I17" s="21">
        <v>2</v>
      </c>
      <c r="J17" s="21">
        <v>3</v>
      </c>
      <c r="K17" s="21">
        <v>3</v>
      </c>
      <c r="L17" s="21">
        <v>3</v>
      </c>
      <c r="M17" s="22">
        <f t="shared" si="1"/>
        <v>2.6</v>
      </c>
      <c r="N17" s="26">
        <v>3</v>
      </c>
      <c r="O17" s="21">
        <v>3</v>
      </c>
      <c r="P17" s="21">
        <v>4</v>
      </c>
      <c r="Q17" s="21">
        <v>4</v>
      </c>
      <c r="R17" s="21">
        <v>3</v>
      </c>
      <c r="S17" s="22">
        <f t="shared" si="2"/>
        <v>3.4</v>
      </c>
      <c r="T17" s="33">
        <v>3</v>
      </c>
      <c r="U17" s="23">
        <v>3</v>
      </c>
      <c r="V17" s="23">
        <v>3</v>
      </c>
      <c r="W17" s="23">
        <v>2</v>
      </c>
      <c r="X17" s="23">
        <v>3</v>
      </c>
      <c r="Y17" s="23">
        <f t="shared" si="3"/>
        <v>2.8</v>
      </c>
      <c r="Z17" s="26">
        <v>3</v>
      </c>
      <c r="AA17" s="21">
        <v>2</v>
      </c>
      <c r="AB17" s="21">
        <v>4</v>
      </c>
      <c r="AC17" s="21">
        <v>3.5</v>
      </c>
      <c r="AD17" s="21">
        <v>3</v>
      </c>
      <c r="AE17" s="22">
        <f t="shared" si="4"/>
        <v>3.1</v>
      </c>
      <c r="AF17" s="35">
        <v>4</v>
      </c>
      <c r="AG17" s="36">
        <v>4.38</v>
      </c>
      <c r="AH17" s="37">
        <v>3.28</v>
      </c>
    </row>
    <row r="18" spans="1:34" x14ac:dyDescent="0.2">
      <c r="A18" s="7" t="s">
        <v>83</v>
      </c>
      <c r="B18" s="26">
        <v>2</v>
      </c>
      <c r="C18" s="21">
        <v>3</v>
      </c>
      <c r="D18" s="21">
        <v>3</v>
      </c>
      <c r="E18" s="21">
        <v>3</v>
      </c>
      <c r="F18" s="21">
        <v>2.5</v>
      </c>
      <c r="G18" s="22">
        <f t="shared" si="0"/>
        <v>2.7</v>
      </c>
      <c r="H18" s="26">
        <v>1</v>
      </c>
      <c r="I18" s="21">
        <v>1</v>
      </c>
      <c r="J18" s="21">
        <v>2</v>
      </c>
      <c r="K18" s="21">
        <v>1</v>
      </c>
      <c r="L18" s="21">
        <v>1</v>
      </c>
      <c r="M18" s="22">
        <f t="shared" si="1"/>
        <v>1.2</v>
      </c>
      <c r="N18" s="26">
        <v>2</v>
      </c>
      <c r="O18" s="21">
        <v>1</v>
      </c>
      <c r="P18" s="21">
        <v>2</v>
      </c>
      <c r="Q18" s="21">
        <v>2</v>
      </c>
      <c r="R18" s="21">
        <v>1</v>
      </c>
      <c r="S18" s="22">
        <f t="shared" si="2"/>
        <v>1.6</v>
      </c>
      <c r="T18" s="33">
        <v>1</v>
      </c>
      <c r="U18" s="23">
        <v>1</v>
      </c>
      <c r="V18" s="23">
        <v>1</v>
      </c>
      <c r="W18" s="23">
        <v>1</v>
      </c>
      <c r="X18" s="23">
        <v>2</v>
      </c>
      <c r="Y18" s="23">
        <f t="shared" si="3"/>
        <v>1.2</v>
      </c>
      <c r="Z18" s="26">
        <v>1</v>
      </c>
      <c r="AA18" s="21">
        <v>1</v>
      </c>
      <c r="AB18" s="21">
        <v>2</v>
      </c>
      <c r="AC18" s="21">
        <v>1</v>
      </c>
      <c r="AD18" s="21">
        <v>1</v>
      </c>
      <c r="AE18" s="22">
        <f t="shared" si="4"/>
        <v>1.2</v>
      </c>
      <c r="AF18" s="35">
        <v>3.3</v>
      </c>
      <c r="AG18" s="36">
        <v>3.28</v>
      </c>
      <c r="AH18" s="37">
        <v>3.22</v>
      </c>
    </row>
    <row r="19" spans="1:34" x14ac:dyDescent="0.2">
      <c r="A19" s="7" t="s">
        <v>84</v>
      </c>
      <c r="B19" s="26">
        <v>2.5</v>
      </c>
      <c r="C19" s="21">
        <v>3</v>
      </c>
      <c r="D19" s="21">
        <v>3</v>
      </c>
      <c r="E19" s="21">
        <v>3</v>
      </c>
      <c r="F19" s="21">
        <v>2.5</v>
      </c>
      <c r="G19" s="22">
        <f t="shared" si="0"/>
        <v>2.8</v>
      </c>
      <c r="H19" s="26">
        <v>1</v>
      </c>
      <c r="I19" s="21">
        <v>1</v>
      </c>
      <c r="J19" s="21">
        <v>2</v>
      </c>
      <c r="K19" s="21">
        <v>2</v>
      </c>
      <c r="L19" s="21">
        <v>2</v>
      </c>
      <c r="M19" s="22">
        <f t="shared" si="1"/>
        <v>1.6</v>
      </c>
      <c r="N19" s="26">
        <v>2</v>
      </c>
      <c r="O19" s="21">
        <v>1</v>
      </c>
      <c r="P19" s="21">
        <v>2</v>
      </c>
      <c r="Q19" s="21">
        <v>2</v>
      </c>
      <c r="R19" s="21">
        <v>1</v>
      </c>
      <c r="S19" s="22">
        <f t="shared" si="2"/>
        <v>1.6</v>
      </c>
      <c r="T19" s="33">
        <v>1</v>
      </c>
      <c r="U19" s="23">
        <v>2</v>
      </c>
      <c r="V19" s="23">
        <v>1</v>
      </c>
      <c r="W19" s="23">
        <v>2</v>
      </c>
      <c r="X19" s="23">
        <v>2</v>
      </c>
      <c r="Y19" s="23">
        <f t="shared" si="3"/>
        <v>1.6</v>
      </c>
      <c r="Z19" s="26">
        <v>1</v>
      </c>
      <c r="AA19" s="21">
        <v>1</v>
      </c>
      <c r="AB19" s="21">
        <v>2</v>
      </c>
      <c r="AC19" s="21">
        <v>1</v>
      </c>
      <c r="AD19" s="21">
        <v>1</v>
      </c>
      <c r="AE19" s="22">
        <f t="shared" si="4"/>
        <v>1.2</v>
      </c>
      <c r="AF19" s="35">
        <v>3.3</v>
      </c>
      <c r="AG19" s="36">
        <v>3.5</v>
      </c>
      <c r="AH19" s="37">
        <v>3.06</v>
      </c>
    </row>
    <row r="20" spans="1:34" x14ac:dyDescent="0.2">
      <c r="A20" s="7" t="s">
        <v>85</v>
      </c>
      <c r="B20" s="26">
        <v>2.5</v>
      </c>
      <c r="C20" s="21">
        <v>3</v>
      </c>
      <c r="D20" s="21">
        <v>3</v>
      </c>
      <c r="E20" s="21">
        <v>3</v>
      </c>
      <c r="F20" s="21">
        <v>2.5</v>
      </c>
      <c r="G20" s="22">
        <f t="shared" si="0"/>
        <v>2.8</v>
      </c>
      <c r="H20" s="26">
        <v>0</v>
      </c>
      <c r="I20" s="21">
        <v>1</v>
      </c>
      <c r="J20" s="21">
        <v>1</v>
      </c>
      <c r="K20" s="21">
        <v>1</v>
      </c>
      <c r="L20" s="21">
        <v>1</v>
      </c>
      <c r="M20" s="22">
        <f t="shared" si="1"/>
        <v>0.8</v>
      </c>
      <c r="N20" s="26">
        <v>2</v>
      </c>
      <c r="O20" s="21">
        <v>1</v>
      </c>
      <c r="P20" s="21">
        <v>2</v>
      </c>
      <c r="Q20" s="21">
        <v>2</v>
      </c>
      <c r="R20" s="21">
        <v>1</v>
      </c>
      <c r="S20" s="22">
        <f t="shared" si="2"/>
        <v>1.6</v>
      </c>
      <c r="T20" s="33">
        <v>1</v>
      </c>
      <c r="U20" s="23">
        <v>2</v>
      </c>
      <c r="V20" s="23">
        <v>1</v>
      </c>
      <c r="W20" s="23">
        <v>1</v>
      </c>
      <c r="X20" s="23">
        <v>2</v>
      </c>
      <c r="Y20" s="23">
        <f t="shared" si="3"/>
        <v>1.4</v>
      </c>
      <c r="Z20" s="26">
        <v>1</v>
      </c>
      <c r="AA20" s="21">
        <v>1</v>
      </c>
      <c r="AB20" s="21">
        <v>1</v>
      </c>
      <c r="AC20" s="21">
        <v>1</v>
      </c>
      <c r="AD20" s="21">
        <v>1</v>
      </c>
      <c r="AE20" s="22">
        <f t="shared" si="4"/>
        <v>1</v>
      </c>
      <c r="AF20" s="35">
        <v>3.3</v>
      </c>
      <c r="AG20" s="36">
        <v>3.59</v>
      </c>
      <c r="AH20" s="37">
        <v>2.78</v>
      </c>
    </row>
    <row r="21" spans="1:34" x14ac:dyDescent="0.2">
      <c r="A21" s="7" t="s">
        <v>86</v>
      </c>
      <c r="B21" s="26">
        <v>2.6</v>
      </c>
      <c r="C21" s="21">
        <v>3.6</v>
      </c>
      <c r="D21" s="21">
        <v>3.3</v>
      </c>
      <c r="E21" s="21">
        <v>3.1</v>
      </c>
      <c r="F21" s="21">
        <v>2.5</v>
      </c>
      <c r="G21" s="22">
        <f t="shared" si="0"/>
        <v>3.02</v>
      </c>
      <c r="H21" s="26">
        <v>2</v>
      </c>
      <c r="I21" s="21">
        <v>1.5</v>
      </c>
      <c r="J21" s="21">
        <v>2</v>
      </c>
      <c r="K21" s="21">
        <v>2</v>
      </c>
      <c r="L21" s="21">
        <v>2</v>
      </c>
      <c r="M21" s="22">
        <f t="shared" si="1"/>
        <v>1.9</v>
      </c>
      <c r="N21" s="26">
        <v>2.1</v>
      </c>
      <c r="O21" s="21">
        <v>2</v>
      </c>
      <c r="P21" s="21">
        <v>4</v>
      </c>
      <c r="Q21" s="21">
        <v>2</v>
      </c>
      <c r="R21" s="21">
        <v>1.56</v>
      </c>
      <c r="S21" s="22">
        <f t="shared" si="2"/>
        <v>2.3319999999999999</v>
      </c>
      <c r="T21" s="33">
        <v>2</v>
      </c>
      <c r="U21" s="23">
        <v>2</v>
      </c>
      <c r="V21" s="23">
        <v>1.7</v>
      </c>
      <c r="W21" s="23">
        <v>1.5</v>
      </c>
      <c r="X21" s="23">
        <v>2</v>
      </c>
      <c r="Y21" s="23">
        <f t="shared" si="3"/>
        <v>1.8399999999999999</v>
      </c>
      <c r="Z21" s="26">
        <v>2</v>
      </c>
      <c r="AA21" s="21">
        <v>2</v>
      </c>
      <c r="AB21" s="21">
        <v>2</v>
      </c>
      <c r="AC21" s="21">
        <v>1.58</v>
      </c>
      <c r="AD21" s="21">
        <v>1.8</v>
      </c>
      <c r="AE21" s="22">
        <f t="shared" si="4"/>
        <v>1.8760000000000001</v>
      </c>
      <c r="AF21" s="35" t="s">
        <v>87</v>
      </c>
      <c r="AG21" s="39" t="s">
        <v>87</v>
      </c>
      <c r="AH21" s="40" t="s">
        <v>87</v>
      </c>
    </row>
    <row r="22" spans="1:34" x14ac:dyDescent="0.2">
      <c r="A22" s="7" t="s">
        <v>88</v>
      </c>
      <c r="B22" s="27">
        <f>AVERAGE(B3:B20)</f>
        <v>2.5833333333333335</v>
      </c>
      <c r="C22" s="28">
        <f t="shared" ref="C22:AE22" si="5">AVERAGE(C3:C20)</f>
        <v>3.4444444444444446</v>
      </c>
      <c r="D22" s="28">
        <f t="shared" si="5"/>
        <v>3.2222222222222223</v>
      </c>
      <c r="E22" s="28">
        <f t="shared" si="5"/>
        <v>2.9722222222222223</v>
      </c>
      <c r="F22" s="28">
        <f t="shared" si="5"/>
        <v>2.3888888888888888</v>
      </c>
      <c r="G22" s="31">
        <f t="shared" si="5"/>
        <v>2.9222222222222221</v>
      </c>
      <c r="H22" s="27">
        <f t="shared" si="5"/>
        <v>0.94444444444444442</v>
      </c>
      <c r="I22" s="28">
        <f t="shared" si="5"/>
        <v>1.2222222222222223</v>
      </c>
      <c r="J22" s="28">
        <f t="shared" si="5"/>
        <v>1.8888888888888888</v>
      </c>
      <c r="K22" s="28">
        <f t="shared" si="5"/>
        <v>1.6666666666666667</v>
      </c>
      <c r="L22" s="28">
        <f t="shared" si="5"/>
        <v>1.7777777777777777</v>
      </c>
      <c r="M22" s="31">
        <f t="shared" si="5"/>
        <v>1.5000000000000002</v>
      </c>
      <c r="N22" s="27">
        <f t="shared" si="5"/>
        <v>1.9444444444444444</v>
      </c>
      <c r="O22" s="28">
        <f t="shared" si="5"/>
        <v>1.5</v>
      </c>
      <c r="P22" s="28">
        <f t="shared" si="5"/>
        <v>1.8888888888888888</v>
      </c>
      <c r="Q22" s="28">
        <f t="shared" si="5"/>
        <v>2.5</v>
      </c>
      <c r="R22" s="28">
        <f t="shared" si="5"/>
        <v>1.5</v>
      </c>
      <c r="S22" s="31">
        <f t="shared" si="5"/>
        <v>1.8666666666666667</v>
      </c>
      <c r="T22" s="34">
        <f t="shared" si="5"/>
        <v>1.7777777777777777</v>
      </c>
      <c r="U22" s="11">
        <f t="shared" si="5"/>
        <v>1.8888888888888888</v>
      </c>
      <c r="V22" s="11">
        <f t="shared" si="5"/>
        <v>1.6111111111111112</v>
      </c>
      <c r="W22" s="11">
        <f t="shared" si="5"/>
        <v>1.5555555555555556</v>
      </c>
      <c r="X22" s="11">
        <f t="shared" si="5"/>
        <v>1.8333333333333333</v>
      </c>
      <c r="Y22" s="11">
        <f t="shared" si="5"/>
        <v>1.7333333333333334</v>
      </c>
      <c r="Z22" s="27">
        <f t="shared" si="5"/>
        <v>1.7777777777777777</v>
      </c>
      <c r="AA22" s="28">
        <f t="shared" si="5"/>
        <v>1.4444444444444444</v>
      </c>
      <c r="AB22" s="28">
        <f t="shared" si="5"/>
        <v>2</v>
      </c>
      <c r="AC22" s="28">
        <f t="shared" si="5"/>
        <v>1.4722222222222223</v>
      </c>
      <c r="AD22" s="28">
        <f t="shared" si="5"/>
        <v>1.7777777777777777</v>
      </c>
      <c r="AE22" s="31">
        <f t="shared" si="5"/>
        <v>1.6944444444444446</v>
      </c>
      <c r="AF22" s="38">
        <f>AVERAGE(AF3:AF20)</f>
        <v>3.5999999999999992</v>
      </c>
      <c r="AG22" s="41">
        <f>AVERAGE(AG3:AG20)</f>
        <v>3.8744444444444448</v>
      </c>
      <c r="AH22" s="42">
        <f>AVERAGE(AH3:AH20)</f>
        <v>3.1238888888888892</v>
      </c>
    </row>
    <row r="25" spans="1:34" x14ac:dyDescent="0.2">
      <c r="P25" s="12"/>
      <c r="Q25" s="14"/>
      <c r="R25" s="13"/>
      <c r="S25" s="13"/>
      <c r="T25" s="14"/>
    </row>
    <row r="26" spans="1:34" x14ac:dyDescent="0.2">
      <c r="I26" s="12"/>
      <c r="J26" s="13"/>
      <c r="K26" s="13"/>
      <c r="L26" s="13"/>
      <c r="M26" s="13"/>
      <c r="N26" s="13"/>
      <c r="O26" s="13"/>
      <c r="P26" s="18"/>
      <c r="Q26" s="20"/>
      <c r="R26" s="19"/>
      <c r="S26" s="19"/>
      <c r="T26" s="20"/>
      <c r="U26" s="14"/>
    </row>
    <row r="27" spans="1:34" x14ac:dyDescent="0.2">
      <c r="I27" s="15"/>
      <c r="J27" s="16"/>
      <c r="K27" s="16"/>
      <c r="L27" s="16"/>
      <c r="M27" s="16"/>
      <c r="N27" s="16"/>
      <c r="O27" s="16"/>
      <c r="P27" s="15"/>
      <c r="Q27" s="17"/>
      <c r="R27" s="16"/>
      <c r="S27" s="16"/>
      <c r="T27" s="16"/>
      <c r="U27" s="17"/>
    </row>
    <row r="29" spans="1:34" x14ac:dyDescent="0.2">
      <c r="X29" s="29"/>
    </row>
  </sheetData>
  <mergeCells count="6">
    <mergeCell ref="AF1:AH1"/>
    <mergeCell ref="B1:G1"/>
    <mergeCell ref="H1:M1"/>
    <mergeCell ref="N1:S1"/>
    <mergeCell ref="T1:Y1"/>
    <mergeCell ref="Z1:A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7</vt:i4>
      </vt:variant>
    </vt:vector>
  </HeadingPairs>
  <TitlesOfParts>
    <vt:vector size="7" baseType="lpstr">
      <vt:lpstr>Contexto</vt:lpstr>
      <vt:lpstr>ChatGPT</vt:lpstr>
      <vt:lpstr>Deepseek</vt:lpstr>
      <vt:lpstr>Llama</vt:lpstr>
      <vt:lpstr>Claude</vt:lpstr>
      <vt:lpstr>Gemini</vt:lpstr>
      <vt:lpstr>Comparações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Gustavo Roberto Pinto</cp:lastModifiedBy>
  <cp:revision/>
  <dcterms:created xsi:type="dcterms:W3CDTF">2025-09-06T17:15:21Z</dcterms:created>
  <dcterms:modified xsi:type="dcterms:W3CDTF">2026-05-25T23:20:49Z</dcterms:modified>
  <cp:category/>
  <cp:contentStatus/>
</cp:coreProperties>
</file>